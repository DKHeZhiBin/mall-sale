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kittle/code/"/>
    </mc:Choice>
  </mc:AlternateContent>
  <xr:revisionPtr revIDLastSave="0" documentId="13_ncr:1_{5933D910-BD65-A34F-9C0E-BE320F0D2C62}" xr6:coauthVersionLast="47" xr6:coauthVersionMax="47" xr10:uidLastSave="{00000000-0000-0000-0000-000000000000}"/>
  <bookViews>
    <workbookView xWindow="0" yWindow="600" windowWidth="38400" windowHeight="19220" activeTab="10" xr2:uid="{00000000-000D-0000-FFFF-FFFF00000000}"/>
  </bookViews>
  <sheets>
    <sheet name="载入说明" sheetId="9" r:id="rId1"/>
    <sheet name="n1" sheetId="12" r:id="rId2"/>
    <sheet name="n1预备役" sheetId="10" r:id="rId3"/>
    <sheet name="n2 " sheetId="2" r:id="rId4"/>
    <sheet name="n3" sheetId="5" r:id="rId5"/>
    <sheet name="n4" sheetId="8" r:id="rId6"/>
    <sheet name="n5" sheetId="11" r:id="rId7"/>
    <sheet name="接尾" sheetId="3" r:id="rId8"/>
    <sheet name="接头" sheetId="4" r:id="rId9"/>
    <sheet name="Error" sheetId="7" r:id="rId10"/>
    <sheet name="Sheet1" sheetId="13" r:id="rId11"/>
  </sheets>
  <definedNames>
    <definedName name="_xlnm._FilterDatabase" localSheetId="3" hidden="1">'n2 '!$A$1:$O$215</definedName>
    <definedName name="_xlnm._FilterDatabase" localSheetId="4" hidden="1">'n3'!$A$1:$O$186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2" i="13" l="1" a="1"/>
  <c r="B112" i="13" s="1"/>
  <c r="B113" i="13" a="1"/>
  <c r="B113" i="13"/>
  <c r="B114" i="13" a="1"/>
  <c r="B114" i="13" s="1"/>
  <c r="B115" i="13" a="1"/>
  <c r="B115" i="13" s="1"/>
  <c r="B116" i="13" a="1"/>
  <c r="B116" i="13" s="1"/>
  <c r="B117" i="13" a="1"/>
  <c r="B117" i="13" s="1"/>
  <c r="B187" i="13" a="1"/>
  <c r="B187" i="13" s="1"/>
  <c r="B188" i="13" a="1"/>
  <c r="B188" i="13" s="1"/>
  <c r="B189" i="13" a="1"/>
  <c r="B189" i="13" s="1"/>
  <c r="B207" i="13" a="1"/>
  <c r="B207" i="13" s="1"/>
  <c r="B208" i="13" a="1"/>
  <c r="B208" i="13"/>
  <c r="B209" i="13" a="1"/>
  <c r="B209" i="13"/>
  <c r="B210" i="13" a="1"/>
  <c r="B210" i="13" s="1"/>
  <c r="B211" i="13" a="1"/>
  <c r="B211" i="13"/>
  <c r="B212" i="13" a="1"/>
  <c r="B212" i="13"/>
  <c r="B216" i="13" a="1"/>
  <c r="B216" i="13" s="1"/>
  <c r="B217" i="13" a="1"/>
  <c r="B217" i="13" s="1"/>
  <c r="B218" i="13" a="1"/>
  <c r="B218" i="13" s="1"/>
  <c r="B219" i="13" a="1"/>
  <c r="B219" i="13"/>
  <c r="B220" i="13" a="1"/>
  <c r="B220" i="13" s="1"/>
  <c r="B221" i="13" a="1"/>
  <c r="B221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<sst xmlns="http://schemas.openxmlformats.org/spreadsheetml/2006/main" count="5105" uniqueCount="4087">
  <si>
    <t>当有adv和二类同时出现时，优先当作副词</t>
    <phoneticPr fontId="1" type="noConversion"/>
  </si>
  <si>
    <t>二类形容词和汉字，原计划优先记入汉字，但是为了提高认知，决定再记一遍</t>
    <phoneticPr fontId="1" type="noConversion"/>
  </si>
  <si>
    <r>
      <rPr>
        <sz val="11"/>
        <color theme="1"/>
        <rFont val="游ゴシック"/>
        <family val="2"/>
        <charset val="128"/>
      </rPr>
      <t>n</t>
    </r>
    <r>
      <rPr>
        <sz val="11"/>
        <color theme="1"/>
        <rFont val="等线"/>
        <family val="2"/>
        <scheme val="minor"/>
      </rPr>
      <t>和2adj，归2adj</t>
    </r>
    <phoneticPr fontId="1" type="noConversion"/>
  </si>
  <si>
    <t>青白い</t>
  </si>
  <si>
    <r>
      <t>あお</t>
    </r>
    <r>
      <rPr>
        <sz val="11"/>
        <color rgb="FFFF0000"/>
        <rFont val="等线"/>
        <family val="4"/>
        <charset val="134"/>
        <scheme val="minor"/>
      </rPr>
      <t>じ</t>
    </r>
    <r>
      <rPr>
        <sz val="11"/>
        <color theme="1"/>
        <rFont val="等线"/>
        <family val="2"/>
        <scheme val="minor"/>
      </rPr>
      <t>ろい</t>
    </r>
    <phoneticPr fontId="1" type="noConversion"/>
  </si>
  <si>
    <t>苍白的</t>
    <phoneticPr fontId="1" type="noConversion"/>
  </si>
  <si>
    <t>飽きっぽい</t>
  </si>
  <si>
    <t>あきっぽい</t>
  </si>
  <si>
    <t>容易厌烦</t>
  </si>
  <si>
    <t>温か/暖か</t>
  </si>
  <si>
    <t>あたたか</t>
  </si>
  <si>
    <t>温暖的，暖和的</t>
    <phoneticPr fontId="1" type="noConversion"/>
  </si>
  <si>
    <t>あつかましい</t>
  </si>
  <si>
    <t>厚脸皮</t>
  </si>
  <si>
    <t>危うい</t>
  </si>
  <si>
    <t>あやうい</t>
    <phoneticPr fontId="1" type="noConversion"/>
  </si>
  <si>
    <t>危险（抽象的）</t>
    <phoneticPr fontId="1" type="noConversion"/>
  </si>
  <si>
    <t>危ういところで助かった。在千钧一发之际获救了。</t>
    <phoneticPr fontId="1" type="noConversion"/>
  </si>
  <si>
    <t>命が危うい。命悬一线。</t>
    <phoneticPr fontId="1" type="noConversion"/>
  </si>
  <si>
    <r>
      <rPr>
        <sz val="11"/>
        <color theme="1"/>
        <rFont val="游ゴシック"/>
        <family val="2"/>
        <charset val="128"/>
      </rPr>
      <t>危ない（</t>
    </r>
    <r>
      <rPr>
        <sz val="11"/>
        <color theme="1"/>
        <rFont val="等线"/>
        <family val="2"/>
        <charset val="134"/>
      </rPr>
      <t>具体物理上的</t>
    </r>
    <r>
      <rPr>
        <sz val="11"/>
        <color theme="1"/>
        <rFont val="游ゴシック"/>
        <family val="2"/>
        <charset val="128"/>
      </rPr>
      <t>）</t>
    </r>
    <phoneticPr fontId="1" type="noConversion"/>
  </si>
  <si>
    <r>
      <rPr>
        <sz val="11"/>
        <color rgb="FFFF0000"/>
        <rFont val="游ゴシック"/>
        <family val="3"/>
        <charset val="128"/>
      </rPr>
      <t>哀</t>
    </r>
    <r>
      <rPr>
        <sz val="11"/>
        <color theme="1"/>
        <rFont val="游ゴシック"/>
        <family val="2"/>
        <charset val="128"/>
      </rPr>
      <t>れ</t>
    </r>
    <phoneticPr fontId="1" type="noConversion"/>
  </si>
  <si>
    <r>
      <rPr>
        <sz val="11"/>
        <color rgb="FFFF0000"/>
        <rFont val="游ゴシック"/>
        <family val="3"/>
        <charset val="128"/>
      </rPr>
      <t>あわ</t>
    </r>
    <r>
      <rPr>
        <sz val="11"/>
        <color theme="1"/>
        <rFont val="游ゴシック"/>
        <family val="2"/>
        <charset val="128"/>
      </rPr>
      <t>れ</t>
    </r>
    <phoneticPr fontId="1" type="noConversion"/>
  </si>
  <si>
    <t>可怜的</t>
    <phoneticPr fontId="1" type="noConversion"/>
  </si>
  <si>
    <t>可哀想</t>
    <phoneticPr fontId="1" type="noConversion"/>
  </si>
  <si>
    <r>
      <t>哀れな姿（すがた）　一副可怜的</t>
    </r>
    <r>
      <rPr>
        <sz val="11"/>
        <color theme="1"/>
        <rFont val="DengXian"/>
        <family val="2"/>
        <charset val="134"/>
      </rPr>
      <t>样子</t>
    </r>
    <phoneticPr fontId="1" type="noConversion"/>
  </si>
  <si>
    <t>哀れな犬が道端で震えていた。一只可怜的狗在路边发抖。</t>
    <phoneticPr fontId="1" type="noConversion"/>
  </si>
  <si>
    <t>安易</t>
    <phoneticPr fontId="1" type="noConversion"/>
  </si>
  <si>
    <t>あんい</t>
  </si>
  <si>
    <r>
      <t>轻易，简单，不费力；</t>
    </r>
    <r>
      <rPr>
        <sz val="11"/>
        <color rgb="FFFF0000"/>
        <rFont val="等线"/>
        <family val="4"/>
        <charset val="134"/>
        <scheme val="minor"/>
      </rPr>
      <t>草率，轻率</t>
    </r>
    <r>
      <rPr>
        <sz val="11"/>
        <color theme="1"/>
        <rFont val="等线"/>
        <family val="2"/>
        <scheme val="minor"/>
      </rPr>
      <t>（常带贬义）</t>
    </r>
    <phoneticPr fontId="1" type="noConversion"/>
  </si>
  <si>
    <t>常带有贬义，指不经过充分思考就采取简单、省事的做法。</t>
    <phoneticPr fontId="1" type="noConversion"/>
  </si>
  <si>
    <t>安易な方法に頼るのはよくない。依赖简单的方法是不好的。</t>
    <phoneticPr fontId="1" type="noConversion"/>
  </si>
  <si>
    <t>問題を安易に考えてはいけない。不能把问题想得太简单。</t>
    <phoneticPr fontId="1" type="noConversion"/>
  </si>
  <si>
    <t>彼はいつも安易に物事を決めてしまう。他总是轻率地做决定。</t>
    <phoneticPr fontId="1" type="noConversion"/>
  </si>
  <si>
    <t>その問題はそんな安易に解決できるものではない。这个问题没那么容易解决。</t>
    <phoneticPr fontId="1" type="noConversion"/>
  </si>
  <si>
    <t>安易な考え	想法过于简单
安易に決める	草率决定
安易な方法に頼る	依赖简便做法
安易な道を選ぶ	选择轻松（逃避）的道路
安易な気持ち	轻率的态度
安易に信じる	轻信</t>
    <phoneticPr fontId="1" type="noConversion"/>
  </si>
  <si>
    <t>安易な気持ちで始めると後悔するよ。要是轻率地开始，会后悔的。</t>
    <phoneticPr fontId="1" type="noConversion"/>
  </si>
  <si>
    <t>安易な妥協は失敗のもとになる。轻易妥协容易导致失败。</t>
    <phoneticPr fontId="1" type="noConversion"/>
  </si>
  <si>
    <r>
      <rPr>
        <sz val="11"/>
        <color rgb="FFFF0000"/>
        <rFont val="游ゴシック"/>
        <family val="3"/>
        <charset val="128"/>
      </rPr>
      <t>勇</t>
    </r>
    <r>
      <rPr>
        <sz val="11"/>
        <color theme="1"/>
        <rFont val="游ゴシック"/>
        <family val="3"/>
        <charset val="128"/>
      </rPr>
      <t>ましい</t>
    </r>
    <phoneticPr fontId="1" type="noConversion"/>
  </si>
  <si>
    <r>
      <rPr>
        <sz val="11"/>
        <color rgb="FFFF0000"/>
        <rFont val="等线"/>
        <family val="4"/>
        <charset val="134"/>
        <scheme val="minor"/>
      </rPr>
      <t>いさ</t>
    </r>
    <r>
      <rPr>
        <sz val="11"/>
        <color theme="1"/>
        <rFont val="等线"/>
        <family val="2"/>
        <scheme val="minor"/>
      </rPr>
      <t>ましい</t>
    </r>
    <phoneticPr fontId="1" type="noConversion"/>
  </si>
  <si>
    <t>勇敢</t>
  </si>
  <si>
    <t>意地悪い</t>
    <phoneticPr fontId="1" type="noConversion"/>
  </si>
  <si>
    <t>いじわるい</t>
  </si>
  <si>
    <t>使坏的，刁难人的</t>
  </si>
  <si>
    <t>薄明るい</t>
  </si>
  <si>
    <t>うすあかるい</t>
  </si>
  <si>
    <t>微亮</t>
  </si>
  <si>
    <t>薄暗い</t>
  </si>
  <si>
    <t>うすぐらい</t>
    <phoneticPr fontId="1" type="noConversion"/>
  </si>
  <si>
    <t>微暗，昏暗</t>
    <phoneticPr fontId="1" type="noConversion"/>
  </si>
  <si>
    <t>羨ましい</t>
  </si>
  <si>
    <t>うらやましい</t>
  </si>
  <si>
    <t>羡慕的</t>
  </si>
  <si>
    <t>羨む</t>
    <phoneticPr fontId="1" type="noConversion"/>
  </si>
  <si>
    <t>永久</t>
    <phoneticPr fontId="1" type="noConversion"/>
  </si>
  <si>
    <t>えいきゅう</t>
  </si>
  <si>
    <t>永久</t>
  </si>
  <si>
    <t>おおざっぱ</t>
  </si>
  <si>
    <t>彼は性格が大雑把だ。他性格粗枝大叶。</t>
    <phoneticPr fontId="1" type="noConversion"/>
  </si>
  <si>
    <t>大雑把に説明すると、これは新しいシステムです。粗略说明一下，这个是新系统。</t>
    <phoneticPr fontId="1" type="noConversion"/>
  </si>
  <si>
    <t>そんな大雑把なやり方では失敗するよ。那样粗略的做法会失败的。</t>
    <phoneticPr fontId="1" type="noConversion"/>
  </si>
  <si>
    <t>恐ろしい</t>
  </si>
  <si>
    <t>おそろしい</t>
  </si>
  <si>
    <t>可怕的；令人害怕的</t>
  </si>
  <si>
    <t>おめでたい</t>
  </si>
  <si>
    <t>可喜可贺，值得庆祝</t>
    <phoneticPr fontId="1" type="noConversion"/>
  </si>
  <si>
    <t>おめでとう。祝贺你（感叹词）</t>
    <phoneticPr fontId="1" type="noConversion"/>
  </si>
  <si>
    <t>おめでたい話があるよ。听说有喜事。</t>
  </si>
  <si>
    <r>
      <rPr>
        <sz val="11"/>
        <color theme="1"/>
        <rFont val="游ゴシック"/>
        <family val="2"/>
        <charset val="128"/>
      </rPr>
      <t>おめでたい日。</t>
    </r>
    <r>
      <rPr>
        <sz val="11"/>
        <color theme="1"/>
        <rFont val="等线"/>
        <family val="2"/>
        <charset val="134"/>
      </rPr>
      <t>值得庆祝的日子</t>
    </r>
    <phoneticPr fontId="1" type="noConversion"/>
  </si>
  <si>
    <t>思いがけない</t>
    <phoneticPr fontId="1" type="noConversion"/>
  </si>
  <si>
    <t>おもいがけない</t>
    <phoneticPr fontId="1" type="noConversion"/>
  </si>
  <si>
    <t>意想不到的，意外的</t>
    <phoneticPr fontId="1" type="noConversion"/>
  </si>
  <si>
    <t xml:space="preserve"> 表示完全没有预料到的事、情况或结果</t>
    <phoneticPr fontId="1" type="noConversion"/>
  </si>
  <si>
    <t>思いがけない人に会った。遇到了意想不到的人。</t>
  </si>
  <si>
    <t>思いがけない出来事に驚いた。对意外的事情感到惊讶。</t>
    <phoneticPr fontId="1" type="noConversion"/>
  </si>
  <si>
    <t>思いがけないチャンスが訪れた。出现了意想不到的机会。</t>
    <phoneticPr fontId="1" type="noConversion"/>
  </si>
  <si>
    <t>思いがけない事故が起きた。 发生了意想不到的事故。</t>
    <phoneticPr fontId="1" type="noConversion"/>
  </si>
  <si>
    <t>思いがけない出来事	意外的事件
思いがけない出会い	意外的邂逅
思いがけない訪問	突如其来的拜访
思いがけない幸運	意外的幸运
思いがけない一言	预料之外的一句话</t>
    <phoneticPr fontId="1" type="noConversion"/>
  </si>
  <si>
    <t>彼の思いがけない一言に驚いた。 他突然说的一句话让我很吃惊。</t>
    <phoneticPr fontId="1" type="noConversion"/>
  </si>
  <si>
    <t>彼の訪問は思いがけなかった。 他的来访是出乎意料的。</t>
    <phoneticPr fontId="1" type="noConversion"/>
  </si>
  <si>
    <t>重たい</t>
    <phoneticPr fontId="1" type="noConversion"/>
  </si>
  <si>
    <t>おもたい</t>
  </si>
  <si>
    <t>重（比喻或实际重量，常用于口语）；沉重（气氛、情绪等）；迟钝，不灵活（身体感觉）</t>
    <phoneticPr fontId="1" type="noConversion"/>
  </si>
  <si>
    <t>このカバンは重たい。这个包很重。</t>
  </si>
  <si>
    <t>会議の雰囲気が重たかった。会议气氛很沉重。</t>
  </si>
  <si>
    <t>昨日から体が重たい。昨天开始身体感觉沉重。</t>
    <phoneticPr fontId="1" type="noConversion"/>
  </si>
  <si>
    <t>重たい気分になるニュースだった。那是让人心情沉重的新闻。</t>
    <phoneticPr fontId="1" type="noConversion"/>
  </si>
  <si>
    <t>温厚</t>
    <phoneticPr fontId="1" type="noConversion"/>
  </si>
  <si>
    <t>おんこう</t>
    <phoneticPr fontId="1" type="noConversion"/>
  </si>
  <si>
    <t>温厚</t>
  </si>
  <si>
    <r>
      <rPr>
        <sz val="11"/>
        <color theme="1"/>
        <rFont val="游ゴシック"/>
        <family val="2"/>
        <charset val="128"/>
      </rPr>
      <t>温厚な性格。</t>
    </r>
    <r>
      <rPr>
        <sz val="11"/>
        <color theme="1"/>
        <rFont val="等线"/>
        <family val="2"/>
        <charset val="134"/>
      </rPr>
      <t>温顺的性格</t>
    </r>
    <phoneticPr fontId="1" type="noConversion"/>
  </si>
  <si>
    <t>彼はとても温厚な人だ。他是个非常温和厚道的人。</t>
    <phoneticPr fontId="1" type="noConversion"/>
  </si>
  <si>
    <t>温暖</t>
    <phoneticPr fontId="1" type="noConversion"/>
  </si>
  <si>
    <t>おんだん</t>
  </si>
  <si>
    <t>温暖</t>
  </si>
  <si>
    <t>快適</t>
    <phoneticPr fontId="1" type="noConversion"/>
  </si>
  <si>
    <t>かいてき</t>
    <phoneticPr fontId="1" type="noConversion"/>
  </si>
  <si>
    <t>舒适的，舒服的</t>
    <phoneticPr fontId="1" type="noConversion"/>
  </si>
  <si>
    <t>限りない</t>
  </si>
  <si>
    <t>かぎりない</t>
  </si>
  <si>
    <t>无限的</t>
  </si>
  <si>
    <t>架空</t>
    <phoneticPr fontId="1" type="noConversion"/>
  </si>
  <si>
    <t>かくう</t>
    <phoneticPr fontId="1" type="noConversion"/>
  </si>
  <si>
    <t>架空</t>
  </si>
  <si>
    <t>確実</t>
    <phoneticPr fontId="1" type="noConversion"/>
  </si>
  <si>
    <t>かくじつ</t>
    <phoneticPr fontId="1" type="noConversion"/>
  </si>
  <si>
    <t>确凿，确定</t>
    <phoneticPr fontId="1" type="noConversion"/>
  </si>
  <si>
    <r>
      <t>過</t>
    </r>
    <r>
      <rPr>
        <sz val="11"/>
        <color rgb="FFFF0000"/>
        <rFont val="游ゴシック"/>
        <family val="3"/>
        <charset val="128"/>
      </rPr>
      <t>剰</t>
    </r>
    <phoneticPr fontId="1" type="noConversion"/>
  </si>
  <si>
    <r>
      <t>か</t>
    </r>
    <r>
      <rPr>
        <sz val="11"/>
        <color rgb="FFFF0000"/>
        <rFont val="游ゴシック"/>
        <family val="3"/>
        <charset val="128"/>
      </rPr>
      <t>じょう</t>
    </r>
    <phoneticPr fontId="1" type="noConversion"/>
  </si>
  <si>
    <t>过量，过多，过高</t>
    <phoneticPr fontId="1" type="noConversion"/>
  </si>
  <si>
    <t>彼は過剰に反応していると思う。我觉得他反应过度了。</t>
  </si>
  <si>
    <t>塩分を過剰に摂取すると、体に悪い。摄取过多盐分对身体有害。</t>
  </si>
  <si>
    <t>両親は私に過剰な期待をしている。父母对我期望过高。</t>
  </si>
  <si>
    <t>過剰になる：变得过多
過剰に反応する：反应过度
過剰に摂取する：摄取过量
過剰に期待する：期望过高
過剰に評価する：评价过高</t>
    <phoneticPr fontId="1" type="noConversion"/>
  </si>
  <si>
    <t>加速度的</t>
    <phoneticPr fontId="1" type="noConversion"/>
  </si>
  <si>
    <t>かそくどてき</t>
    <phoneticPr fontId="1" type="noConversion"/>
  </si>
  <si>
    <t>加速</t>
    <phoneticPr fontId="1" type="noConversion"/>
  </si>
  <si>
    <r>
      <t>気</t>
    </r>
    <r>
      <rPr>
        <sz val="11"/>
        <color rgb="FFFF0000"/>
        <rFont val="游ゴシック"/>
        <family val="3"/>
        <charset val="128"/>
      </rPr>
      <t>軽</t>
    </r>
    <phoneticPr fontId="1" type="noConversion"/>
  </si>
  <si>
    <r>
      <t>き</t>
    </r>
    <r>
      <rPr>
        <sz val="11"/>
        <color rgb="FFFF0000"/>
        <rFont val="游ゴシック"/>
        <family val="3"/>
        <charset val="128"/>
      </rPr>
      <t>がる</t>
    </r>
    <phoneticPr fontId="1" type="noConversion"/>
  </si>
  <si>
    <t>轻松，随意；爽快</t>
    <phoneticPr fontId="1" type="noConversion"/>
  </si>
  <si>
    <t>没有心理负担、轻松、不拘束</t>
    <phoneticPr fontId="1" type="noConversion"/>
  </si>
  <si>
    <t>何かあったら、気軽に相談してください。如果有什么事，请随时来找我商量。</t>
  </si>
  <si>
    <t>そんなに気軽に頼まれても困るよ。你这么随便拜托我，我也很为难啊。</t>
  </si>
  <si>
    <t>彼とは気軽に話せる関係です。我和他是可以轻松交谈的关系。</t>
  </si>
  <si>
    <t>彼は気軽に引き受けてくれた。他爽快地答应了我的请求。</t>
    <phoneticPr fontId="1" type="noConversion"/>
  </si>
  <si>
    <t>気軽に話す：轻松地说话
気軽に頼む：随便拜托
気軽に行く：轻松前往
気軽に参加する：轻松参与
気軽に相談する：随意咨询</t>
    <phoneticPr fontId="1" type="noConversion"/>
  </si>
  <si>
    <t>そんなに気軽に決めて大丈夫？你这么爽快就决定了，没问题吗？</t>
    <phoneticPr fontId="1" type="noConversion"/>
  </si>
  <si>
    <t>聞き上手</t>
    <phoneticPr fontId="1" type="noConversion"/>
  </si>
  <si>
    <t>ききじょうず</t>
    <phoneticPr fontId="1" type="noConversion"/>
  </si>
  <si>
    <r>
      <t>善于倾听的</t>
    </r>
    <r>
      <rPr>
        <sz val="11"/>
        <color theme="1"/>
        <rFont val="游ゴシック"/>
        <family val="2"/>
        <charset val="128"/>
      </rPr>
      <t>(</t>
    </r>
    <r>
      <rPr>
        <sz val="11"/>
        <color theme="1"/>
        <rFont val="等线"/>
        <family val="2"/>
        <charset val="134"/>
      </rPr>
      <t>人</t>
    </r>
    <r>
      <rPr>
        <sz val="11"/>
        <color theme="1"/>
        <rFont val="游ゴシック"/>
        <family val="2"/>
        <charset val="128"/>
      </rPr>
      <t>)</t>
    </r>
    <phoneticPr fontId="1" type="noConversion"/>
  </si>
  <si>
    <t>n,adj2</t>
    <phoneticPr fontId="1" type="noConversion"/>
  </si>
  <si>
    <t>彼女はとても聞き上手だから、つい何でも話してしまう。她非常会倾听，不知不觉就把什么都说出来了。</t>
  </si>
  <si>
    <t>聞き上手な人は、人間関係をうまく築ける。善于倾听的人能建立良好的人际关系。</t>
  </si>
  <si>
    <t>会話は話し上手より聞き上手の方が大事だよ。谈话中比起会说，更重要的是会听。</t>
  </si>
  <si>
    <t>聞き上手だ：擅长倾听
聞き上手な人：会倾听的人
聞き上手に徹する：专注于倾听
聞き上手と言われる：被称为善于倾听</t>
    <phoneticPr fontId="1" type="noConversion"/>
  </si>
  <si>
    <t>聞き下手</t>
    <phoneticPr fontId="1" type="noConversion"/>
  </si>
  <si>
    <t>ききへた</t>
    <phoneticPr fontId="1" type="noConversion"/>
  </si>
  <si>
    <t>不善于倾听的(人)</t>
    <phoneticPr fontId="1" type="noConversion"/>
  </si>
  <si>
    <t>話し上手</t>
    <phoneticPr fontId="1" type="noConversion"/>
  </si>
  <si>
    <t>はなしじょうず</t>
    <phoneticPr fontId="1" type="noConversion"/>
  </si>
  <si>
    <t>能说会道的(人)</t>
    <phoneticPr fontId="1" type="noConversion"/>
  </si>
  <si>
    <t>奇跡的</t>
    <phoneticPr fontId="1" type="noConversion"/>
  </si>
  <si>
    <t>きせきてき</t>
    <phoneticPr fontId="1" type="noConversion"/>
  </si>
  <si>
    <t>奇跡般的</t>
    <phoneticPr fontId="1" type="noConversion"/>
  </si>
  <si>
    <r>
      <t>貴</t>
    </r>
    <r>
      <rPr>
        <sz val="11"/>
        <color rgb="FFFF0000"/>
        <rFont val="等线"/>
        <family val="4"/>
        <charset val="134"/>
        <scheme val="minor"/>
      </rPr>
      <t>重</t>
    </r>
    <phoneticPr fontId="1" type="noConversion"/>
  </si>
  <si>
    <r>
      <rPr>
        <sz val="11"/>
        <color theme="1"/>
        <rFont val="游ゴシック"/>
        <family val="2"/>
        <charset val="128"/>
      </rPr>
      <t>き</t>
    </r>
    <r>
      <rPr>
        <sz val="11"/>
        <color rgb="FFFF0000"/>
        <rFont val="游ゴシック"/>
        <family val="3"/>
        <charset val="128"/>
      </rPr>
      <t>ちょう</t>
    </r>
    <phoneticPr fontId="1" type="noConversion"/>
  </si>
  <si>
    <t>貴重</t>
  </si>
  <si>
    <r>
      <t>希</t>
    </r>
    <r>
      <rPr>
        <sz val="11"/>
        <color rgb="FFFF0000"/>
        <rFont val="游ゴシック"/>
        <family val="3"/>
        <charset val="128"/>
      </rPr>
      <t>薄</t>
    </r>
    <phoneticPr fontId="1" type="noConversion"/>
  </si>
  <si>
    <r>
      <t>き</t>
    </r>
    <r>
      <rPr>
        <sz val="11"/>
        <color rgb="FFFF0000"/>
        <rFont val="等线"/>
        <family val="4"/>
        <charset val="134"/>
        <scheme val="minor"/>
      </rPr>
      <t>はく</t>
    </r>
    <phoneticPr fontId="1" type="noConversion"/>
  </si>
  <si>
    <t>稀薄、淡薄（表示密度小、浓度低）；微弱、不强烈（表示感情、意识等不够强烈）；不紧密、不深刻（表示关系疏远、联系不紧密）</t>
    <phoneticPr fontId="1" type="noConversion"/>
  </si>
  <si>
    <t>「希薄」偏书面语，口语中更常说：薄い（うすい）：用于颜色、味道、感情等浅、弱时；あまりない／弱い：更口语化的说法</t>
    <phoneticPr fontId="1" type="noConversion"/>
  </si>
  <si>
    <t>高山では空気が希薄になる。在高山上空气变得稀薄。</t>
  </si>
  <si>
    <t>現代人は地域とのつながりが希薄になっている。现代人与地区的联系变得淡薄。</t>
  </si>
  <si>
    <t>彼には責任感が希薄だと思う。我觉得他缺乏责任感。</t>
  </si>
  <si>
    <t>彼の話からは感情の希薄さを感じた。从他的话中感觉不到感情。</t>
  </si>
  <si>
    <t>空気が希薄だ：空气稀薄
酸素が希薄だ：氧气稀薄
人間関係が希薄だ：人际关系淡薄
責任感が希薄だ：责任感薄弱
感情が希薄だ：感情淡漠
意識が希薄だ：意识淡薄</t>
    <phoneticPr fontId="1" type="noConversion"/>
  </si>
  <si>
    <t>気まま</t>
    <phoneticPr fontId="1" type="noConversion"/>
  </si>
  <si>
    <t>きまま</t>
    <phoneticPr fontId="1" type="noConversion"/>
  </si>
  <si>
    <t>自由自在、不受拘束；随心所欲；任性</t>
    <phoneticPr fontId="1" type="noConversion"/>
  </si>
  <si>
    <t>既可以褒义，也可以带贬义</t>
    <phoneticPr fontId="1" type="noConversion"/>
  </si>
  <si>
    <t>退職後は気ままに暮らしたい。退休后想过上自由自在的生活。</t>
  </si>
  <si>
    <t>彼女は気ままな性格で、人の話を聞かない。她性格很任性，不听人劝。</t>
  </si>
  <si>
    <t>一人旅なら気ままに行動できる。一个人旅行就能随心所欲地行动。</t>
  </si>
  <si>
    <t>彼の気ままさには困っている。他太任性真让人头疼。</t>
  </si>
  <si>
    <t>気ままに暮らす：自由自在地生活
気ままに過ごす：随心所欲地度过
気ままな生活：随性的生活
気ままな性格：任性的性格
気ままに旅する：随性地旅行</t>
    <phoneticPr fontId="1" type="noConversion"/>
  </si>
  <si>
    <t>奇妙</t>
    <phoneticPr fontId="1" type="noConversion"/>
  </si>
  <si>
    <t>きみょう</t>
    <phoneticPr fontId="1" type="noConversion"/>
  </si>
  <si>
    <t>客観的</t>
    <phoneticPr fontId="1" type="noConversion"/>
  </si>
  <si>
    <t>きゃくかんてき</t>
    <phoneticPr fontId="1" type="noConversion"/>
  </si>
  <si>
    <r>
      <t>主観的</t>
    </r>
    <r>
      <rPr>
        <sz val="11"/>
        <color theme="1"/>
        <rFont val="DengXian"/>
        <family val="2"/>
        <charset val="134"/>
      </rPr>
      <t xml:space="preserve"> しゅかんてき 主観的</t>
    </r>
    <phoneticPr fontId="1" type="noConversion"/>
  </si>
  <si>
    <t>急激</t>
    <phoneticPr fontId="1" type="noConversion"/>
  </si>
  <si>
    <t>きゅうげき</t>
    <phoneticPr fontId="1" type="noConversion"/>
  </si>
  <si>
    <t>急剧的</t>
    <phoneticPr fontId="1" type="noConversion"/>
  </si>
  <si>
    <t>この数年で人口が急激に減少した。这几年人口急剧减少。</t>
  </si>
  <si>
    <t>急激な温度変化は体に悪い。温度急剧变化对身体不好。</t>
  </si>
  <si>
    <t>経済は急激に回復しつつある。经济正在迅速恢复。</t>
  </si>
  <si>
    <t>彼の態度が急激に変わった。他的态度急剧改变了。</t>
  </si>
  <si>
    <t>急激な変化：急剧的变化
急激な成長：迅速的成长
急激な増加／減少：急剧增长／减少
急激な気温の変化：气温急剧变化
急激な運動：剧烈运动</t>
    <phoneticPr fontId="1" type="noConversion"/>
  </si>
  <si>
    <t>急速</t>
    <phoneticPr fontId="1" type="noConversion"/>
  </si>
  <si>
    <t>きゅうそく</t>
    <phoneticPr fontId="1" type="noConversion"/>
  </si>
  <si>
    <t>強力</t>
    <phoneticPr fontId="1" type="noConversion"/>
  </si>
  <si>
    <t>きょうりょく</t>
    <phoneticPr fontId="1" type="noConversion"/>
  </si>
  <si>
    <t>偶然</t>
    <phoneticPr fontId="1" type="noConversion"/>
  </si>
  <si>
    <t>ぐぜん</t>
    <phoneticPr fontId="1" type="noConversion"/>
  </si>
  <si>
    <t>くたくた</t>
    <phoneticPr fontId="1" type="noConversion"/>
  </si>
  <si>
    <t>筋疲力尽、精疲力竭；煮得很烂</t>
    <phoneticPr fontId="1" type="noConversion"/>
  </si>
  <si>
    <t>一日中歩き回って、くたくたになった。整天到处走，累得筋疲力尽。</t>
  </si>
  <si>
    <t>試験が終わって、頭がくたくただ。考试结束后，脑子都累坏了。</t>
  </si>
  <si>
    <t>肉をくたくたに煮込むと、とても柔らかくなる。肉煮得软烂时，会变得很嫩。</t>
  </si>
  <si>
    <t>引っ越し作業でくたくたに疲れた。搬家太累了，筋疲力尽。</t>
  </si>
  <si>
    <t>くたくたになる：变得筋疲力尽
体がくたくただ：身体非常疲惫
くたくたに煮る：煮得烂烂的
くたくたに疲れる：累得不行</t>
    <phoneticPr fontId="1" type="noConversion"/>
  </si>
  <si>
    <t>くだらない</t>
    <phoneticPr fontId="1" type="noConversion"/>
  </si>
  <si>
    <t>无聊的，没意义的</t>
    <phoneticPr fontId="1" type="noConversion"/>
  </si>
  <si>
    <t>语气强烈，使用时要注意语境，避免冒犯对方。</t>
  </si>
  <si>
    <t>くだらないテレビ番組ばかりで、見る気がしない。尽是些无聊的电视节目，完全不想看。</t>
  </si>
  <si>
    <t>そんなくだらないことで怒るなよ。别为那种小事生气啊。</t>
  </si>
  <si>
    <t>あの映画はストーリーがくだらなくて途中で寝ちゃった。那部电影情节太无聊，我中途就睡着了。</t>
  </si>
  <si>
    <t>桁違い</t>
    <phoneticPr fontId="1" type="noConversion"/>
  </si>
  <si>
    <t>けたちがい</t>
    <phoneticPr fontId="1" type="noConversion"/>
  </si>
  <si>
    <t>差距极大，天壤之别；远远超过</t>
    <phoneticPr fontId="1" type="noConversion"/>
  </si>
  <si>
    <t>彼の成績はクラスの他の生徒と比べて桁違いだ。他的成绩和班上其他同学相比，差距非常大。</t>
  </si>
  <si>
    <t xml:space="preserve">この製品は性能が桁違いに優れている。这个产品的性能远远优于其他。
</t>
  </si>
  <si>
    <t>私たちの売上は去年より桁違いに増えた。我们的销售额比去年大幅增长。</t>
  </si>
  <si>
    <t>彼の才能は他の追随を許さないほど桁違いだ。他的才能远远超过其他人，无法比拟。</t>
  </si>
  <si>
    <t>桁違いの実力：截然不同的实力
桁違いの差：天壤之别的差距
桁違いの価格：差距极大的价格
桁違いの成果：远远超过的成果
桁違いの才能：天赋异禀
〜が桁違いだ：……差距极大
〜と比べて桁違いに違う：和……相比差距悬殊
桁違いに優れている：远远优于</t>
    <phoneticPr fontId="1" type="noConversion"/>
  </si>
  <si>
    <t>下品</t>
    <phoneticPr fontId="1" type="noConversion"/>
  </si>
  <si>
    <t>げひん</t>
    <phoneticPr fontId="1" type="noConversion"/>
  </si>
  <si>
    <t>粗俗，低俗</t>
    <phoneticPr fontId="1" type="noConversion"/>
  </si>
  <si>
    <t>そんな下品な言葉遣いはやめなさい。别再用那种粗俗的话了。</t>
  </si>
  <si>
    <t>彼の冗談はいつも下品で、不快だ。他的笑话总是很低俗，让人不舒服。</t>
  </si>
  <si>
    <t>下品な態度は周りの人に嫌われる。粗俗的态度会让周围的人讨厌。</t>
  </si>
  <si>
    <t>あの映画は内容も演出も下品だと評判が悪い。那部电影内容和表现手法都被评价为低俗，名声不好。</t>
  </si>
  <si>
    <t>下品な言葉遣い（ことばづかい）：粗俗的用语
下品なジョーク：低俗的笑话
下品な態度：粗鲁的态度
下品な振る舞い：不检点的行为
下品な趣味：低俗的兴趣爱好
下品だと思う：觉得低俗
下品に振る舞う：行为粗俗
下品な言葉を使う：使用粗俗的语言</t>
    <phoneticPr fontId="1" type="noConversion"/>
  </si>
  <si>
    <t>険しい</t>
    <phoneticPr fontId="1" type="noConversion"/>
  </si>
  <si>
    <t>けわしい</t>
    <phoneticPr fontId="1" type="noConversion"/>
  </si>
  <si>
    <t>险峻的；艰难的</t>
    <phoneticPr fontId="1" type="noConversion"/>
  </si>
  <si>
    <t>険しい山道。陡峭的山路</t>
    <phoneticPr fontId="1" type="noConversion"/>
  </si>
  <si>
    <t>険しい崖（がけ）。险峻的悬崖</t>
    <phoneticPr fontId="1" type="noConversion"/>
  </si>
  <si>
    <t>険しい道のり：艰难的道路（比喻困难过程）</t>
    <phoneticPr fontId="1" type="noConversion"/>
  </si>
  <si>
    <t>厳重</t>
    <phoneticPr fontId="1" type="noConversion"/>
  </si>
  <si>
    <t>げんじゅう</t>
    <phoneticPr fontId="1" type="noConversion"/>
  </si>
  <si>
    <t>厳重</t>
  </si>
  <si>
    <t>恋しい</t>
    <phoneticPr fontId="1" type="noConversion"/>
  </si>
  <si>
    <t>こいしい</t>
    <phoneticPr fontId="1" type="noConversion"/>
  </si>
  <si>
    <t>故郷の山や川が恋しい。思念故乡的山川。</t>
  </si>
  <si>
    <t>長い間離れていて、家族がとても恋しい。长时间离开，特别想念家人。</t>
  </si>
  <si>
    <t>君のことが恋しくてたまらない。我非常想念你。</t>
  </si>
  <si>
    <t>故郷が恋しい：思念故乡
家族が恋しい：想念家人
昔の日々が恋しい：怀念过去的日子
君が恋しい：想念你
恋しく思う：思念，怀念
恋しくなる：变得想念
恋しくてたまらない：非常想念</t>
    <phoneticPr fontId="1" type="noConversion"/>
  </si>
  <si>
    <t>強引</t>
    <phoneticPr fontId="1" type="noConversion"/>
  </si>
  <si>
    <t>ごういん</t>
    <phoneticPr fontId="1" type="noConversion"/>
  </si>
  <si>
    <t>强行，强硬</t>
    <phoneticPr fontId="1" type="noConversion"/>
  </si>
  <si>
    <t>彼はいつも強引に話を進めるので、みんな困っている。他总是强行推进事情，大家都很为难。</t>
  </si>
  <si>
    <t>強引なやり方はトラブルのもとだ。强硬的做法是麻烦的根源。</t>
  </si>
  <si>
    <t>そんなに強引に頼まれても困るよ。你这么强行请求我也很为难。</t>
  </si>
  <si>
    <t>上司が強引に計画を押し切った。上司强行通过了计划。</t>
  </si>
  <si>
    <t>強引な手段：强硬手段
強引に進める：强行推进
強引な説得：强行说服
強引なやり方：强硬的做法
強引に押し切る：强行压过对方
強引に行う：强行进行
強引に頼む：强行请求
強引に押し通す：强行通过（意见、计划等）
強引に説得する：强硬说服</t>
    <phoneticPr fontId="1" type="noConversion"/>
  </si>
  <si>
    <t>高価</t>
    <phoneticPr fontId="1" type="noConversion"/>
  </si>
  <si>
    <t>こうか</t>
    <phoneticPr fontId="1" type="noConversion"/>
  </si>
  <si>
    <t>高価</t>
  </si>
  <si>
    <t>安価</t>
    <phoneticPr fontId="1" type="noConversion"/>
  </si>
  <si>
    <t>あんか</t>
    <phoneticPr fontId="1" type="noConversion"/>
  </si>
  <si>
    <t>廉价</t>
    <phoneticPr fontId="1" type="noConversion"/>
  </si>
  <si>
    <t>この製品は安価で性能も優れています。 这款产品价格低廉且性能优越。</t>
    <phoneticPr fontId="1" type="noConversion"/>
  </si>
  <si>
    <t>安価な部品を使うと、故障の原因になることがある。 使用廉价零件有时会导致故障。</t>
    <phoneticPr fontId="1" type="noConversion"/>
  </si>
  <si>
    <t>このサービスは安価に利用できます。 这项服务可以以低价使用。</t>
    <phoneticPr fontId="1" type="noConversion"/>
  </si>
  <si>
    <t>安価な労働力に頼る産業構造が問題視されている。 依赖廉价劳动力的产业结构正受到质疑。</t>
    <phoneticPr fontId="1" type="noConversion"/>
  </si>
  <si>
    <t>安価な商品	便宜的商品
安価な素材	廉价材料
安価に提供する	以低价提供
安価で高品質	便宜又高质量
安価な労働力	廉价劳动力</t>
    <phoneticPr fontId="1" type="noConversion"/>
  </si>
  <si>
    <t>安価なイメージだが、実は高品質である。 虽然给人便宜的印象，其实质量很好。</t>
    <phoneticPr fontId="1" type="noConversion"/>
  </si>
  <si>
    <t>好景気</t>
    <phoneticPr fontId="1" type="noConversion"/>
  </si>
  <si>
    <t>こうけいき</t>
    <phoneticPr fontId="1" type="noConversion"/>
  </si>
  <si>
    <t>经济繁荣</t>
    <phoneticPr fontId="1" type="noConversion"/>
  </si>
  <si>
    <t>今年は輸出が増えて好景気だ。今年出口增加，经济繁荣。</t>
  </si>
  <si>
    <t>好景気が続くと、企業の利益も増える。经济繁荣时，企业利润也会增加。</t>
  </si>
  <si>
    <t>不況（ふきょう）から回復し、ようやく好景気に入った。从不景气中恢复，终于进入经济繁荣期。</t>
  </si>
  <si>
    <t>好景気の影響で、求人が増えている。因为经济繁荣，招聘增加了。</t>
  </si>
  <si>
    <t>好景気が続く：经济持续繁荣
好景気の波に乗る：赶上经济繁荣的浪潮
好景気を享受する：享受经济繁荣
好景気に沸く：因经济繁荣而兴奋
好景気になる：进入经济繁荣期
好景気を迎える：迎来经济繁荣
好景気を経験する：经历经济繁荣</t>
    <phoneticPr fontId="1" type="noConversion"/>
  </si>
  <si>
    <t>強情</t>
    <phoneticPr fontId="1" type="noConversion"/>
  </si>
  <si>
    <t>ごうじょう</t>
    <phoneticPr fontId="1" type="noConversion"/>
  </si>
  <si>
    <t>固执，倔强</t>
    <phoneticPr fontId="1" type="noConversion"/>
  </si>
  <si>
    <t>彼はとても強情で、誰の意見も聞かない。他很固执，谁的意见都不听。</t>
  </si>
  <si>
    <t>子どもは強情を張って、親の言うことを聞かなかった。孩子倔强，不听父母的话。</t>
  </si>
  <si>
    <t>あの人は強情だから、説得するのは難しい。那个人很固执，劝说很难。</t>
  </si>
  <si>
    <t>彼女は自分の考えを強情に押し通した。她坚持自己的想法到底。</t>
  </si>
  <si>
    <t>強情な人：固执的人
強情を張る：坚持己见，固执己见
強情な態度：倔强的态度
強情に反対する：固执反对
強情を張る：固执己见
強情に抵抗する：顽固抵抗
強情に押し通す：坚持到底，不妥协</t>
    <phoneticPr fontId="1" type="noConversion"/>
  </si>
  <si>
    <t>公正</t>
    <phoneticPr fontId="1" type="noConversion"/>
  </si>
  <si>
    <t>こうせい</t>
    <phoneticPr fontId="1" type="noConversion"/>
  </si>
  <si>
    <r>
      <rPr>
        <sz val="11"/>
        <color rgb="FFFF0000"/>
        <rFont val="等线"/>
        <family val="2"/>
        <scheme val="minor"/>
      </rPr>
      <t>不公平≠</t>
    </r>
    <r>
      <rPr>
        <sz val="11"/>
        <color rgb="FFFF0000"/>
        <rFont val="游ゴシック"/>
        <family val="2"/>
        <charset val="128"/>
      </rPr>
      <t>不平</t>
    </r>
    <phoneticPr fontId="1" type="noConversion"/>
  </si>
  <si>
    <t>好調</t>
    <phoneticPr fontId="1" type="noConversion"/>
  </si>
  <si>
    <t>こうじょう</t>
    <phoneticPr fontId="1" type="noConversion"/>
  </si>
  <si>
    <t>势头好，顺利，情况好</t>
    <phoneticPr fontId="1" type="noConversion"/>
  </si>
  <si>
    <t>新製品は発売以来、好調に売れている。新产品自发布以来销售情况良好。</t>
  </si>
  <si>
    <t>経済はここ数年、好調を維持している。经济这几年保持良好状态。</t>
  </si>
  <si>
    <t>彼の調子は試合中ずっと好調だった。他在比赛中状态一直很好。</t>
  </si>
  <si>
    <t>プロジェクトは好調に進んでいる。项目进展顺利。</t>
  </si>
  <si>
    <t>好調な売れ行き：销售情况良好
好調な経済：经济状况良好
好調なスタート：顺利的开始
好調な成績：良好的成绩
好調に進む：顺利进行
好調を維持する：保持良好状态
好調に推移する：顺利发展
好調に飛ばす：表现好（运动、比赛中）</t>
    <phoneticPr fontId="1" type="noConversion"/>
  </si>
  <si>
    <t>高度</t>
    <phoneticPr fontId="1" type="noConversion"/>
  </si>
  <si>
    <t>こうど</t>
    <phoneticPr fontId="1" type="noConversion"/>
  </si>
  <si>
    <t>高度；高水平</t>
    <phoneticPr fontId="1" type="noConversion"/>
  </si>
  <si>
    <r>
      <t>高度成長期。</t>
    </r>
    <r>
      <rPr>
        <sz val="11"/>
        <color theme="1"/>
        <rFont val="DengXian"/>
        <family val="2"/>
        <charset val="134"/>
      </rPr>
      <t>高度成长期</t>
    </r>
    <phoneticPr fontId="1" type="noConversion"/>
  </si>
  <si>
    <t>高度な問題：高难度问题</t>
    <phoneticPr fontId="1" type="noConversion"/>
  </si>
  <si>
    <r>
      <rPr>
        <sz val="11"/>
        <color theme="1"/>
        <rFont val="游ゴシック"/>
        <family val="2"/>
        <charset val="128"/>
      </rPr>
      <t>高度な技術。</t>
    </r>
    <r>
      <rPr>
        <sz val="11"/>
        <color theme="1"/>
        <rFont val="等线"/>
        <family val="2"/>
        <charset val="134"/>
      </rPr>
      <t>高端的技术</t>
    </r>
    <phoneticPr fontId="1" type="noConversion"/>
  </si>
  <si>
    <t>高度な知識：高级知识</t>
    <phoneticPr fontId="1" type="noConversion"/>
  </si>
  <si>
    <t>個人的</t>
    <phoneticPr fontId="1" type="noConversion"/>
  </si>
  <si>
    <t>こじんてき</t>
    <phoneticPr fontId="1" type="noConversion"/>
  </si>
  <si>
    <t>個人的</t>
  </si>
  <si>
    <t>逆さ</t>
    <phoneticPr fontId="1" type="noConversion"/>
  </si>
  <si>
    <t>さかさ</t>
    <phoneticPr fontId="1" type="noConversion"/>
  </si>
  <si>
    <t>倒</t>
    <phoneticPr fontId="1" type="noConversion"/>
  </si>
  <si>
    <t>更常作为n</t>
    <phoneticPr fontId="1" type="noConversion"/>
  </si>
  <si>
    <t>コップを逆さに置いて乾かした。把杯子倒过来放着晾干。</t>
  </si>
  <si>
    <t>空に映る山は、湖に逆さに映っていた。天空中的山倒映在湖面上。</t>
  </si>
  <si>
    <t xml:space="preserve">この漢字は逆さにすると別の字に見える。这个汉字倒过来看像另一个字。
</t>
    <phoneticPr fontId="1" type="noConversion"/>
  </si>
  <si>
    <t>彼は逆さ吊りにされたという伝説がある。传说他曾被倒挂起来。</t>
  </si>
  <si>
    <t>逆さにする：把……倒过来
逆さまの文字：倒写的字
逆さ吊り（さかさづり）：倒挂
逆さ言葉（さかさことば）：反说词，回文
逆さになる：变成上下颠倒
逆さに置く：倒着放
逆さに読む：倒着读</t>
    <phoneticPr fontId="1" type="noConversion"/>
  </si>
  <si>
    <t>逆様</t>
    <phoneticPr fontId="1" type="noConversion"/>
  </si>
  <si>
    <t>さかさま</t>
    <phoneticPr fontId="1" type="noConversion"/>
  </si>
  <si>
    <t>颠倒，相反</t>
    <phoneticPr fontId="1" type="noConversion"/>
  </si>
  <si>
    <t>比逆さ更口语</t>
    <phoneticPr fontId="1" type="noConversion"/>
  </si>
  <si>
    <t>靴を逆様に履いてしまった。鞋子穿反了。</t>
  </si>
  <si>
    <t>その絵は逆様に飾られていた。那幅画挂反了。</t>
  </si>
  <si>
    <t>旗が逆様に掲げられているのに気づいた。注意到旗子倒挂了。</t>
  </si>
  <si>
    <t>世の中が逆様になったようだ。感觉世界颠倒了。</t>
  </si>
  <si>
    <t>逆様にする：颠倒、倒过来
逆様の世界：颠倒的世界
逆様に着る：穿反了
逆様に見る：倒着看
逆様の旗：倒挂的旗帜
逆様になる：变成相反状态
逆様に置く：倒放
逆様に動く：反向运动</t>
    <phoneticPr fontId="1" type="noConversion"/>
  </si>
  <si>
    <t>ささやか</t>
    <phoneticPr fontId="1" type="noConversion"/>
  </si>
  <si>
    <t>ささやか</t>
  </si>
  <si>
    <t>小小的</t>
    <phoneticPr fontId="1" type="noConversion"/>
  </si>
  <si>
    <t>囁く</t>
  </si>
  <si>
    <t>これはささやかながら、私の感謝の気持ちです。这虽是小小的东西，但代表我的谢意。</t>
  </si>
  <si>
    <t xml:space="preserve">ささやかな幸せが毎日の支えになっている。小小的幸福支撑着每天的生活。
</t>
  </si>
  <si>
    <t>彼はささやかな夢を大切にしている。他珍视着自己小小的梦想。</t>
  </si>
  <si>
    <t>結婚記念日をささやかに祝った。简单地庆祝了结婚纪念日。</t>
  </si>
  <si>
    <t>ささやかな幸せ（しあわせ）：小小的幸福
ささやかな夢（ゆめ）：小小的梦想
ささやかな贈り物（おくりもの）：小小的礼物
ささやかな願い（ねがい）：微小的心愿</t>
    <phoneticPr fontId="1" type="noConversion"/>
  </si>
  <si>
    <t>些少</t>
    <phoneticPr fontId="1" type="noConversion"/>
  </si>
  <si>
    <t>さしょう</t>
    <phoneticPr fontId="1" type="noConversion"/>
  </si>
  <si>
    <t>微薄，些许</t>
    <phoneticPr fontId="1" type="noConversion"/>
  </si>
  <si>
    <t>些少ながら、お役に立てれば幸いです。虽是微薄之力，能帮上忙就太好了。</t>
  </si>
  <si>
    <t>些少の品ですが、どうぞお受け取りください。这是微薄之礼，请您收下。</t>
  </si>
  <si>
    <t>それは些少の違いにすぎない。那只是细微的差别而已。</t>
  </si>
  <si>
    <t>募金は些少にとどまった。募捐金额仅为少量。</t>
  </si>
  <si>
    <t>些少のお礼。一点点心意（礼物/报答）	
些少の援助。少量支援
些少な金額。微薄的金额
些少の違い。细微差别</t>
    <phoneticPr fontId="1" type="noConversion"/>
  </si>
  <si>
    <t>不作法</t>
    <phoneticPr fontId="1" type="noConversion"/>
  </si>
  <si>
    <t>ふさほう</t>
    <phoneticPr fontId="1" type="noConversion"/>
  </si>
  <si>
    <t>没礼貌，没教养</t>
    <phoneticPr fontId="1" type="noConversion"/>
  </si>
  <si>
    <t>お茶を残すのは不作法です。剩茶是很没有礼貌的。</t>
  </si>
  <si>
    <t>長い間ご連絡せず、大変不作法いたしました。长时间没有联系，实在失礼了。</t>
  </si>
  <si>
    <t>彼の話し方は少し不作法だ。他说话方式有些不礼貌。</t>
  </si>
  <si>
    <t>子供の不作法をお許しください。请原谅孩子的失礼行为。</t>
  </si>
  <si>
    <t>不作法な態度：没礼貌的态度
不作法な人：没教养的人
不作法をお許しください：请原谅我的无礼（常用于敬语）
ご無沙汰して、不作法をいたしました：久未联系，实在失礼
不作法をする：做出无礼行为
不作法を詫びる（わびる）：为无礼道歉
不作法に振る舞う（ふるまう）：行为粗鲁</t>
    <phoneticPr fontId="1" type="noConversion"/>
  </si>
  <si>
    <t>騒がしい</t>
    <phoneticPr fontId="1" type="noConversion"/>
  </si>
  <si>
    <t>さわがしい</t>
    <phoneticPr fontId="1" type="noConversion"/>
  </si>
  <si>
    <t>吵闹的、喧哗的；动荡的</t>
    <phoneticPr fontId="1" type="noConversion"/>
  </si>
  <si>
    <t>外が騒がしいので、窓を閉めた。外面太吵了，所以关上了窗户。</t>
  </si>
  <si>
    <t>子供たちの声で部屋が騒がしくなった。因为孩子们的声音，房间变得很吵。</t>
  </si>
  <si>
    <t>最近、政治が騒がしいですね。最近政治局势挺动荡的呢。</t>
  </si>
  <si>
    <t>あの店はいつも騒がしい。那家店总是很吵闹。</t>
  </si>
  <si>
    <t>騒がしい声：吵闹的声音
騒がしい通り（とおり）：喧闹的街道
騒がしい教室：嘈杂的教室
世の中が騒がしい：世道不太平、局势混乱
内心が騒がしい：内心烦乱
騒がしい音がする：传来吵闹声
騒がしく話す：吵吵嚷嚷地说
騒がしい雰囲気になる：变得喧闹</t>
    <phoneticPr fontId="1" type="noConversion"/>
  </si>
  <si>
    <t>残酷</t>
    <phoneticPr fontId="1" type="noConversion"/>
  </si>
  <si>
    <t>ざんこ</t>
    <phoneticPr fontId="1" type="noConversion"/>
  </si>
  <si>
    <t>しつこい</t>
    <phoneticPr fontId="1" type="noConversion"/>
  </si>
  <si>
    <t>しつこい</t>
  </si>
  <si>
    <t>死缠烂打；浓烈的；喋喋不休的</t>
    <phoneticPr fontId="1" type="noConversion"/>
  </si>
  <si>
    <t>諄い</t>
    <phoneticPr fontId="1" type="noConversion"/>
  </si>
  <si>
    <t>彼はしつこく誘ってくるから困る。他老是缠着我邀我出去，真烦人。</t>
  </si>
  <si>
    <t>こんなにしつこい味は苦手です。我不喜欢这种这么浓的味道。</t>
  </si>
  <si>
    <t xml:space="preserve">あまりしつこく聞かないでください。请别一直追问了。
</t>
  </si>
  <si>
    <t>その営業マンはしつこかった。那个业务员太烦人了。</t>
  </si>
  <si>
    <t>しつこい人：死缠烂打的人
しつこい勧誘（かんゆう）：纠缠不休的推销
しつこい質問：反复追问的问题
しつこい油（あぶら）っこさ：油腻感
しつこい味／におい：过于浓烈的味道或气味
しつこく言う／聞く／頼む：反复说／问／请求
しつこく付きまとう：纠缠不休
しつこく粘る（ねばる）：执着、纠缠</t>
    <phoneticPr fontId="1" type="noConversion"/>
  </si>
  <si>
    <t>実践的</t>
    <phoneticPr fontId="1" type="noConversion"/>
  </si>
  <si>
    <t>じっせんてき</t>
    <phoneticPr fontId="1" type="noConversion"/>
  </si>
  <si>
    <t>实际的，实用的</t>
    <phoneticPr fontId="1" type="noConversion"/>
  </si>
  <si>
    <t>この講座は実践的な内容が多くて役に立つ。——这门课程内容很实用，很有帮助。</t>
    <phoneticPr fontId="1" type="noConversion"/>
  </si>
  <si>
    <t>学校では理論よりも実践的なスキルを重視しています。——学校更重视实用技能而不是理论。</t>
    <phoneticPr fontId="1" type="noConversion"/>
  </si>
  <si>
    <t>実践的に学ぶことが一番身につきやすい。——通过实践学习最容易掌握。</t>
    <phoneticPr fontId="1" type="noConversion"/>
  </si>
  <si>
    <t>プログラミングは実践的な訓練が必要だ。——编程需要实战训练。</t>
    <phoneticPr fontId="1" type="noConversion"/>
  </si>
  <si>
    <t>実践的な知識：实际知识
実践的な能力：实际能力
実践的な方法：实用的方法
実践的な訓練：实战训练
実践的な内容：实用内容
実践的に使う：实际运用
実践的に学ぶ：通过实践学习
実践的な経験を積む（つむ）：积累实战经验</t>
    <phoneticPr fontId="1" type="noConversion"/>
  </si>
  <si>
    <t>質素</t>
    <phoneticPr fontId="1" type="noConversion"/>
  </si>
  <si>
    <t>しっそ</t>
    <phoneticPr fontId="1" type="noConversion"/>
  </si>
  <si>
    <t>简单，朴素</t>
    <phoneticPr fontId="1" type="noConversion"/>
  </si>
  <si>
    <t>表示不追求奢华，生活或打扮上朴素简约、不铺张的状态。常用于形容人的生活方式、衣着、饮食等。</t>
    <phoneticPr fontId="1" type="noConversion"/>
  </si>
  <si>
    <t>彼は質素な生活をしているが、心はとても豊かだ。——他生活朴素，但内心非常充实。</t>
  </si>
  <si>
    <t>この料理は見た目は質素だが、味は格別だ。——这道菜虽然看起来简单，但味道非常好。</t>
    <phoneticPr fontId="1" type="noConversion"/>
  </si>
  <si>
    <t>結婚後は、二人で質素に暮らしています。——结婚后我们两人过着简朴的生活。</t>
    <phoneticPr fontId="1" type="noConversion"/>
  </si>
  <si>
    <t>彼女は質素な服装で現れた。——她穿着朴素地出现了。</t>
    <phoneticPr fontId="1" type="noConversion"/>
  </si>
  <si>
    <t>質素な生活：简朴的生活
質素な服装：朴素的穿着
質素な食事：清淡的饮食
質素な暮らし：节制的日子
質素な家庭：不讲排场的家庭
質素に暮らす：过得简朴
質素に生きる：以简约为生活方式
質素を好む：喜欢朴素
質素を保つ：保持简朴</t>
    <phoneticPr fontId="1" type="noConversion"/>
  </si>
  <si>
    <t>地道</t>
    <phoneticPr fontId="1" type="noConversion"/>
  </si>
  <si>
    <t>じみち</t>
    <phoneticPr fontId="1" type="noConversion"/>
  </si>
  <si>
    <t>踏实，脚踏实地；地道的</t>
    <phoneticPr fontId="1" type="noConversion"/>
  </si>
  <si>
    <r>
      <t>本格的　</t>
    </r>
    <r>
      <rPr>
        <sz val="11"/>
        <color theme="1"/>
        <rFont val="DengXian"/>
        <family val="2"/>
        <charset val="134"/>
      </rPr>
      <t>正宗的</t>
    </r>
    <phoneticPr fontId="1" type="noConversion"/>
  </si>
  <si>
    <t>彼は地道に努力して成功した。——他踏实努力才成功的。</t>
    <phoneticPr fontId="1" type="noConversion"/>
  </si>
  <si>
    <t>この店のラーメンは地道な味で人気がある。——这家店的拉面味道地道，很受欢迎。</t>
    <phoneticPr fontId="1" type="noConversion"/>
  </si>
  <si>
    <t>彼女の日本語はとても地道だ。——她的日语非常地道。</t>
    <phoneticPr fontId="1" type="noConversion"/>
  </si>
  <si>
    <t>地道な人は信頼される。——踏实的人会被信赖。</t>
    <phoneticPr fontId="1" type="noConversion"/>
  </si>
  <si>
    <t>地道な味：正宗的味道
地道な言葉遣い（ことばづかい）：地道的用词，地道的语言
地道な人柄（ひとがら）：踏实的性格
地道な努力：踏实的努力
地道な仕事：扎实的工作
地道に働く：踏实工作
地道に続ける：坚持不懈地做
地道に勉強する：踏实学习</t>
    <phoneticPr fontId="1" type="noConversion"/>
  </si>
  <si>
    <t>空虚</t>
    <phoneticPr fontId="1" type="noConversion"/>
  </si>
  <si>
    <t>くうきょ</t>
    <phoneticPr fontId="1" type="noConversion"/>
  </si>
  <si>
    <t>主観的</t>
    <phoneticPr fontId="1" type="noConversion"/>
  </si>
  <si>
    <t>しゅかんてき</t>
    <phoneticPr fontId="1" type="noConversion"/>
  </si>
  <si>
    <t>主観的</t>
  </si>
  <si>
    <t>純情</t>
    <phoneticPr fontId="1" type="noConversion"/>
  </si>
  <si>
    <t>じゅんじょう</t>
    <phoneticPr fontId="1" type="noConversion"/>
  </si>
  <si>
    <t>单纯的、纯真的</t>
    <phoneticPr fontId="1" type="noConversion"/>
  </si>
  <si>
    <t>感情单纯、纯真</t>
    <phoneticPr fontId="1" type="noConversion"/>
  </si>
  <si>
    <t>彼はとても純情な人だ。——他是个非常纯情的人。</t>
    <phoneticPr fontId="1" type="noConversion"/>
  </si>
  <si>
    <t>純情な恋愛は美しい。——纯真的恋爱很美好。</t>
    <phoneticPr fontId="1" type="noConversion"/>
  </si>
  <si>
    <t>その映画は若者の純情を描いている。——那部电影描绘了年轻人的纯情。</t>
    <phoneticPr fontId="1" type="noConversion"/>
  </si>
  <si>
    <t>彼女は純情な心を持っている。——她有一颗纯洁的心。</t>
    <phoneticPr fontId="1" type="noConversion"/>
  </si>
  <si>
    <t>純情な若者：纯情的年轻人
純情な恋愛：纯真的恋爱
純情な心：纯洁的心
純情な感情：单纯的感情
純情を守る：保持纯真
純情を失う：失去纯情
純情を抱く：怀有纯情</t>
    <phoneticPr fontId="1" type="noConversion"/>
  </si>
  <si>
    <r>
      <t>純</t>
    </r>
    <r>
      <rPr>
        <sz val="11"/>
        <color rgb="FFFF0000"/>
        <rFont val="游ゴシック"/>
        <family val="3"/>
        <charset val="128"/>
      </rPr>
      <t>粋</t>
    </r>
    <phoneticPr fontId="1" type="noConversion"/>
  </si>
  <si>
    <r>
      <t>じゅん</t>
    </r>
    <r>
      <rPr>
        <sz val="11"/>
        <color rgb="FFFF0000"/>
        <rFont val="等线"/>
        <family val="4"/>
        <charset val="134"/>
        <scheme val="minor"/>
      </rPr>
      <t>すい</t>
    </r>
    <phoneticPr fontId="1" type="noConversion"/>
  </si>
  <si>
    <t>純粋</t>
    <phoneticPr fontId="1" type="noConversion"/>
  </si>
  <si>
    <t>无杂质、无功利</t>
    <phoneticPr fontId="1" type="noConversion"/>
  </si>
  <si>
    <t>純粋な水：纯水</t>
    <phoneticPr fontId="1" type="noConversion"/>
  </si>
  <si>
    <t>純粋な気持ち：纯粹的情感（没有功利）</t>
    <phoneticPr fontId="1" type="noConversion"/>
  </si>
  <si>
    <t>純粋に学問を愛する：纯粹地热爱学问</t>
    <phoneticPr fontId="1" type="noConversion"/>
  </si>
  <si>
    <t>純粋な日本人：纯种日本人</t>
    <phoneticPr fontId="1" type="noConversion"/>
  </si>
  <si>
    <r>
      <t>無</t>
    </r>
    <r>
      <rPr>
        <sz val="11"/>
        <color rgb="FFFF0000"/>
        <rFont val="游ゴシック"/>
        <family val="3"/>
        <charset val="128"/>
      </rPr>
      <t>垢</t>
    </r>
    <phoneticPr fontId="1" type="noConversion"/>
  </si>
  <si>
    <r>
      <t>む</t>
    </r>
    <r>
      <rPr>
        <sz val="11"/>
        <color rgb="FFFF0000"/>
        <rFont val="游ゴシック"/>
        <family val="3"/>
        <charset val="128"/>
      </rPr>
      <t>く</t>
    </r>
    <phoneticPr fontId="1" type="noConversion"/>
  </si>
  <si>
    <t>无垢、洁白无瑕、未被玷污</t>
    <phoneticPr fontId="1" type="noConversion"/>
  </si>
  <si>
    <t>偏文学，强调一种「完全无污染的纯洁状态」——精神或身体层面。</t>
    <phoneticPr fontId="1" type="noConversion"/>
  </si>
  <si>
    <t>無垢な少女：天真无邪的少女</t>
    <phoneticPr fontId="1" type="noConversion"/>
  </si>
  <si>
    <t>無垢の魂：纯净的灵魂</t>
    <phoneticPr fontId="1" type="noConversion"/>
  </si>
  <si>
    <t>無垢の心：未被世俗污染的心灵</t>
    <phoneticPr fontId="1" type="noConversion"/>
  </si>
  <si>
    <t>上等</t>
    <phoneticPr fontId="1" type="noConversion"/>
  </si>
  <si>
    <t>じょうとう</t>
    <phoneticPr fontId="1" type="noConversion"/>
  </si>
  <si>
    <t>上等</t>
  </si>
  <si>
    <t>情熱的</t>
    <phoneticPr fontId="1" type="noConversion"/>
  </si>
  <si>
    <t>じょうねつてき</t>
    <phoneticPr fontId="1" type="noConversion"/>
  </si>
  <si>
    <t>热情的</t>
    <phoneticPr fontId="1" type="noConversion"/>
  </si>
  <si>
    <t>彼女は情熱的な人で、いつも全力で取り組む。她是个充满热情的人，总是全力以赴。</t>
    <phoneticPr fontId="1" type="noConversion"/>
  </si>
  <si>
    <t>その俳優の演技は情熱的だった。那位演员的表演非常有激情。</t>
    <phoneticPr fontId="1" type="noConversion"/>
  </si>
  <si>
    <t>二人は情熱的に愛し合っていた。两人热烈地相爱着。</t>
    <phoneticPr fontId="1" type="noConversion"/>
  </si>
  <si>
    <t>彼の情熱的な演説に心を打たれた。被他充满激情的演讲打动了。</t>
    <phoneticPr fontId="1" type="noConversion"/>
  </si>
  <si>
    <t>情熱的な人：充满热情的人
情熱的な演説（えんぜつ）：充满激情的演讲
情熱的な恋（こい）：炽热的恋情
情熱的な性格：热情的性格
情熱的なファン：狂热的粉丝
情熱的に語る：充满热情地诉说
情熱的に働く：充满干劲地工作
情熱的に愛する：热烈地爱着
情熱的に応援する：热情支持</t>
    <phoneticPr fontId="1" type="noConversion"/>
  </si>
  <si>
    <t>新規</t>
    <phoneticPr fontId="1" type="noConversion"/>
  </si>
  <si>
    <t>しんき</t>
    <phoneticPr fontId="1" type="noConversion"/>
  </si>
  <si>
    <t>新规则；新来的</t>
    <phoneticPr fontId="1" type="noConversion"/>
  </si>
  <si>
    <t>この会社は新規事業を立ち上げた。这家公司启动了一个新项目。</t>
    <phoneticPr fontId="1" type="noConversion"/>
  </si>
  <si>
    <t>アプリを使うには新規登録が必要です。使用此应用需要新注册。</t>
    <phoneticPr fontId="1" type="noConversion"/>
  </si>
  <si>
    <t>新規開店セールで全品20％オフです。新开店促销，全场八折。</t>
    <phoneticPr fontId="1" type="noConversion"/>
  </si>
  <si>
    <t xml:space="preserve">営業部では新規顧客の開拓に力を入れている。营业部正在努力开发新客户。
</t>
    <phoneticPr fontId="1" type="noConversion"/>
  </si>
  <si>
    <t>新規顧客：新客户
新規事業：新业务、新项目
新規開店：新开张
新規登録：新注册
新規参入：新进入（市场）
新規に始める：开始新的……
新規開拓する：开发新客户
新規登録する：新注册
新規作成する：新建（文件）</t>
    <phoneticPr fontId="1" type="noConversion"/>
  </si>
  <si>
    <t>真剣</t>
    <phoneticPr fontId="1" type="noConversion"/>
  </si>
  <si>
    <t>しんけん</t>
    <phoneticPr fontId="1" type="noConversion"/>
  </si>
  <si>
    <t>认真，一丝不苟</t>
    <phoneticPr fontId="1" type="noConversion"/>
  </si>
  <si>
    <t>彼は真剣な表情で話し始めた。他一脸认真地开始说话。</t>
    <phoneticPr fontId="1" type="noConversion"/>
  </si>
  <si>
    <t xml:space="preserve">将来について真剣に考えています。我正在认真思考将来。
</t>
    <phoneticPr fontId="1" type="noConversion"/>
  </si>
  <si>
    <t>私たちは真剣に付き合っています。我们在认真交往。</t>
    <phoneticPr fontId="1" type="noConversion"/>
  </si>
  <si>
    <t>彼女は仕事に真剣に取り組んでいる。她非常认真地对待工作。</t>
    <phoneticPr fontId="1" type="noConversion"/>
  </si>
  <si>
    <t>真剣な表情：严肃的表情
真剣な態度：认真的态度
真剣な話：正经的谈话
真剣勝負：真刀真枪的较量（正式比赛）
真剣に考える：认真思考
真剣に取り組む：认真对待、全力以赴
真剣に話す：认真地谈
真剣に付き合う：认真交往（恋爱）</t>
    <phoneticPr fontId="1" type="noConversion"/>
  </si>
  <si>
    <r>
      <rPr>
        <sz val="11"/>
        <color rgb="FFFF0000"/>
        <rFont val="游ゴシック"/>
        <family val="3"/>
        <charset val="128"/>
      </rPr>
      <t>甚</t>
    </r>
    <r>
      <rPr>
        <sz val="11"/>
        <color theme="1"/>
        <rFont val="游ゴシック"/>
        <family val="2"/>
        <charset val="128"/>
      </rPr>
      <t>大</t>
    </r>
    <phoneticPr fontId="1" type="noConversion"/>
  </si>
  <si>
    <r>
      <rPr>
        <sz val="11"/>
        <color rgb="FFFF0000"/>
        <rFont val="游ゴシック"/>
        <family val="3"/>
        <charset val="128"/>
      </rPr>
      <t>じん</t>
    </r>
    <r>
      <rPr>
        <sz val="11"/>
        <color theme="1"/>
        <rFont val="游ゴシック"/>
        <family val="2"/>
        <charset val="128"/>
      </rPr>
      <t>だい</t>
    </r>
    <phoneticPr fontId="1" type="noConversion"/>
  </si>
  <si>
    <t>巨大</t>
    <phoneticPr fontId="1" type="noConversion"/>
  </si>
  <si>
    <t>地震により甚大な被害が出た。由于地震造成了巨大损失。</t>
    <phoneticPr fontId="1" type="noConversion"/>
  </si>
  <si>
    <t>台風が経済に甚大な影響を与えた。台风对经济造成了重大影响。</t>
    <phoneticPr fontId="1" type="noConversion"/>
  </si>
  <si>
    <t>火災で甚大な損害が発生した。火灾造成了严重损害。</t>
    <phoneticPr fontId="1" type="noConversion"/>
  </si>
  <si>
    <t>甚大な被害：重大损失
甚大な影響：巨大影响
甚大な損害：严重损害
甚大な関心：极大的关注
被害が甚大になる：造成重大损失
影響を甚大に受ける：受到巨大影响
甚大なダメージを与える：造成重大打击</t>
    <phoneticPr fontId="1" type="noConversion"/>
  </si>
  <si>
    <t>垂直</t>
    <phoneticPr fontId="1" type="noConversion"/>
  </si>
  <si>
    <t>すいちょく</t>
    <phoneticPr fontId="1" type="noConversion"/>
  </si>
  <si>
    <t>垂直</t>
  </si>
  <si>
    <t>水平</t>
    <phoneticPr fontId="1" type="noConversion"/>
  </si>
  <si>
    <t>すいへい</t>
    <phoneticPr fontId="1" type="noConversion"/>
  </si>
  <si>
    <t>図々しい</t>
    <phoneticPr fontId="1" type="noConversion"/>
  </si>
  <si>
    <t>ずうずうしい</t>
    <phoneticPr fontId="1" type="noConversion"/>
  </si>
  <si>
    <t>脸皮厚的</t>
    <phoneticPr fontId="1" type="noConversion"/>
  </si>
  <si>
    <t>そんなにお金を要求するなんて図々しい。居然要求那么多钱，真是厚脸皮。</t>
    <phoneticPr fontId="1" type="noConversion"/>
  </si>
  <si>
    <t>彼は他人の弁当を食べるなんて図々しいにもほどがある。他竟然吃别人的便当，实在太不要脸了。</t>
    <phoneticPr fontId="1" type="noConversion"/>
  </si>
  <si>
    <t>初対面で家に泊めてと言うなんて図々しすぎる。第一次见面就说要住我家，真是太厚脸皮了。</t>
    <phoneticPr fontId="1" type="noConversion"/>
  </si>
  <si>
    <t>図々しい人：厚脸皮的人
図々しい態度：不知羞耻的态度
図々しいお願い：厚脸皮的请求
図々しい発言：厚颜无耻的发言</t>
    <phoneticPr fontId="1" type="noConversion"/>
  </si>
  <si>
    <t>ずさん</t>
    <phoneticPr fontId="1" type="noConversion"/>
  </si>
  <si>
    <t>ずさん</t>
  </si>
  <si>
    <t>すばやい</t>
    <phoneticPr fontId="1" type="noConversion"/>
  </si>
  <si>
    <t>彼は素早い動きで相手の攻撃を避けた。他用敏捷的动作躲开了对方的攻击。</t>
    <phoneticPr fontId="1" type="noConversion"/>
  </si>
  <si>
    <t>速やか</t>
    <phoneticPr fontId="1" type="noConversion"/>
  </si>
  <si>
    <t>すみやか</t>
    <phoneticPr fontId="1" type="noConversion"/>
  </si>
  <si>
    <t>迅速的；敏捷的</t>
  </si>
  <si>
    <r>
      <t>偏书面，例句与</t>
    </r>
    <r>
      <rPr>
        <sz val="11"/>
        <color theme="1"/>
        <rFont val="游ゴシック"/>
        <family val="2"/>
        <charset val="128"/>
      </rPr>
      <t>素早い</t>
    </r>
    <r>
      <rPr>
        <sz val="11"/>
        <color theme="1"/>
        <rFont val="等线"/>
        <family val="2"/>
        <charset val="134"/>
      </rPr>
      <t>类似</t>
    </r>
    <phoneticPr fontId="1" type="noConversion"/>
  </si>
  <si>
    <t>鋭い</t>
    <phoneticPr fontId="1" type="noConversion"/>
  </si>
  <si>
    <t>するどい</t>
    <phoneticPr fontId="1" type="noConversion"/>
  </si>
  <si>
    <t>锋利的；敏锐的；尖锐的；尖刻的；</t>
    <phoneticPr fontId="1" type="noConversion"/>
  </si>
  <si>
    <t>このナイフはとても鋭い。这把刀非常锋利。</t>
    <phoneticPr fontId="1" type="noConversion"/>
  </si>
  <si>
    <t>彼は鋭い観察力を持っている。他有敏锐的观察力。</t>
    <phoneticPr fontId="1" type="noConversion"/>
  </si>
  <si>
    <t>彼女の質問はいつも鋭い。她的问题总是很尖锐。</t>
    <phoneticPr fontId="1" type="noConversion"/>
  </si>
  <si>
    <t>鋭い痛みが足に走った。脚上突然传来剧烈的疼痛。</t>
    <phoneticPr fontId="1" type="noConversion"/>
  </si>
  <si>
    <t>鋭い刃物：锋利的刀具
鋭い痛み：剧烈的疼痛
鋭い観察力：敏锐的观察力
鋭い質問：尖锐的问题
鋭い批判：尖刻的批评
鋭く切れる：锋利地切开
鋭く感じる：敏锐地感受到
鋭く反応する：敏锐地反应
鋭く指摘する：尖锐地指出</t>
    <phoneticPr fontId="1" type="noConversion"/>
  </si>
  <si>
    <t>清潔</t>
    <phoneticPr fontId="1" type="noConversion"/>
  </si>
  <si>
    <t>せいけつ</t>
    <phoneticPr fontId="1" type="noConversion"/>
  </si>
  <si>
    <t>整洁，干净</t>
    <phoneticPr fontId="1" type="noConversion"/>
  </si>
  <si>
    <t>清潔な部屋：干净的房间
清潔な服装：整洁的穿着
清潔な環境：卫生的环境
清潔を保つ：保持清洁
清潔にする：使干净
清潔を保つ：保持清洁
手を清潔に洗う：把手洗干净</t>
    <phoneticPr fontId="1" type="noConversion"/>
  </si>
  <si>
    <t>誠実</t>
    <phoneticPr fontId="1" type="noConversion"/>
  </si>
  <si>
    <t>せいじつ</t>
    <phoneticPr fontId="1" type="noConversion"/>
  </si>
  <si>
    <t>誠実</t>
  </si>
  <si>
    <t>未熟</t>
    <phoneticPr fontId="1" type="noConversion"/>
  </si>
  <si>
    <t>みじゅく</t>
    <phoneticPr fontId="1" type="noConversion"/>
  </si>
  <si>
    <t>未成熟，不熟练</t>
    <phoneticPr fontId="1" type="noConversion"/>
  </si>
  <si>
    <r>
      <t>精</t>
    </r>
    <r>
      <rPr>
        <sz val="11"/>
        <color rgb="FFFF0000"/>
        <rFont val="游ゴシック"/>
        <family val="3"/>
        <charset val="128"/>
      </rPr>
      <t>神</t>
    </r>
    <r>
      <rPr>
        <sz val="11"/>
        <color theme="1"/>
        <rFont val="游ゴシック"/>
        <family val="2"/>
        <charset val="128"/>
      </rPr>
      <t>的</t>
    </r>
    <phoneticPr fontId="1" type="noConversion"/>
  </si>
  <si>
    <r>
      <t>せい</t>
    </r>
    <r>
      <rPr>
        <sz val="11"/>
        <color rgb="FFFF0000"/>
        <rFont val="等线"/>
        <family val="4"/>
        <charset val="134"/>
        <scheme val="minor"/>
      </rPr>
      <t>しん</t>
    </r>
    <r>
      <rPr>
        <sz val="11"/>
        <color theme="1"/>
        <rFont val="等线"/>
        <family val="2"/>
        <scheme val="minor"/>
      </rPr>
      <t>てき</t>
    </r>
    <phoneticPr fontId="1" type="noConversion"/>
  </si>
  <si>
    <t>精神的</t>
    <phoneticPr fontId="1" type="noConversion"/>
  </si>
  <si>
    <t>肉体的</t>
    <phoneticPr fontId="1" type="noConversion"/>
  </si>
  <si>
    <t>にくたいてき</t>
    <phoneticPr fontId="1" type="noConversion"/>
  </si>
  <si>
    <t>肉体的</t>
  </si>
  <si>
    <t>正当</t>
    <phoneticPr fontId="1" type="noConversion"/>
  </si>
  <si>
    <t>せいとう</t>
    <phoneticPr fontId="1" type="noConversion"/>
  </si>
  <si>
    <t>正当</t>
  </si>
  <si>
    <t>そうぞうしい</t>
    <phoneticPr fontId="1" type="noConversion"/>
  </si>
  <si>
    <t>吵闹的，动荡的</t>
    <phoneticPr fontId="1" type="noConversion"/>
  </si>
  <si>
    <t>外が騒々しくて眠れなかった。外面太吵了，睡不着。</t>
    <phoneticPr fontId="1" type="noConversion"/>
  </si>
  <si>
    <t>選挙の前になると、町が騒々しくなる。一到选举前，街上就变得很吵。</t>
    <phoneticPr fontId="1" type="noConversion"/>
  </si>
  <si>
    <t>彼の部屋はいつも騒々しい。他的房间总是很吵。</t>
    <phoneticPr fontId="1" type="noConversion"/>
  </si>
  <si>
    <t>騒々しくなる：变得吵闹
騒々しく騒ぐ：吵吵闹闹地喧哗
騒々しく感じる：感觉很吵
騒々しい通り：喧闹的街道
騒々しい声：吵闹的声音
騒々しいニュース：动荡不安的新闻</t>
    <phoneticPr fontId="1" type="noConversion"/>
  </si>
  <si>
    <t>相当</t>
    <phoneticPr fontId="1" type="noConversion"/>
  </si>
  <si>
    <t>そうとう</t>
    <phoneticPr fontId="1" type="noConversion"/>
  </si>
  <si>
    <t>相当</t>
  </si>
  <si>
    <t>そそっかしい</t>
    <phoneticPr fontId="1" type="noConversion"/>
  </si>
  <si>
    <t xml:space="preserve">そんなそそっかしいことをすると、けがするよ。你这么冒失，会受伤的。
</t>
    <phoneticPr fontId="1" type="noConversion"/>
  </si>
  <si>
    <t>彼はそそっかしい性格なので、注意が必要だ。他性格毛躁，需要多加注意。</t>
    <phoneticPr fontId="1" type="noConversion"/>
  </si>
  <si>
    <r>
      <rPr>
        <sz val="11"/>
        <color rgb="FFFF0000"/>
        <rFont val="游ゴシック"/>
        <family val="3"/>
        <charset val="128"/>
      </rPr>
      <t>率</t>
    </r>
    <r>
      <rPr>
        <sz val="11"/>
        <color theme="1"/>
        <rFont val="游ゴシック"/>
        <family val="2"/>
        <charset val="128"/>
      </rPr>
      <t>直</t>
    </r>
    <phoneticPr fontId="1" type="noConversion"/>
  </si>
  <si>
    <r>
      <rPr>
        <sz val="11"/>
        <color rgb="FFFF0000"/>
        <rFont val="等线"/>
        <family val="4"/>
        <charset val="134"/>
        <scheme val="minor"/>
      </rPr>
      <t>そっ</t>
    </r>
    <r>
      <rPr>
        <sz val="11"/>
        <color theme="1"/>
        <rFont val="等线"/>
        <family val="2"/>
        <scheme val="minor"/>
      </rPr>
      <t>ちょく</t>
    </r>
    <phoneticPr fontId="1" type="noConversion"/>
  </si>
  <si>
    <t>坦率的</t>
    <phoneticPr fontId="1" type="noConversion"/>
  </si>
  <si>
    <t>率直な意見をありがとうございます。 感谢您坦率地提出意见。</t>
    <phoneticPr fontId="1" type="noConversion"/>
  </si>
  <si>
    <t>彼は率直な性格で、誰にでも本音を話す。 他性格直率，对谁都说真心话。</t>
    <phoneticPr fontId="1" type="noConversion"/>
  </si>
  <si>
    <t>率直に申し上げて、今回の提案には賛成できません。 坦率地说，我无法赞成这次的提案。</t>
    <phoneticPr fontId="1" type="noConversion"/>
  </si>
  <si>
    <t>お互いに率直な気持ちを伝えることが大切です。 互相坦诚地表达感受是很重要的。</t>
    <phoneticPr fontId="1" type="noConversion"/>
  </si>
  <si>
    <t>率直な意見	坦率的意见
率直な人	坦率的人
率直に言う	坦率地说
率直な気持ち	真挚的心情
率直に話し合う	坦诚地交流</t>
    <phoneticPr fontId="1" type="noConversion"/>
  </si>
  <si>
    <t>率直に言えば、それは失敗だったと思う。 直说的话，我觉得那是一次失败。</t>
    <phoneticPr fontId="1" type="noConversion"/>
  </si>
  <si>
    <t>大層</t>
  </si>
  <si>
    <t>たいそう</t>
  </si>
  <si>
    <t>非常，很</t>
  </si>
  <si>
    <t>x</t>
  </si>
  <si>
    <t>確か</t>
    <phoneticPr fontId="1" type="noConversion"/>
  </si>
  <si>
    <t>たしか</t>
    <phoneticPr fontId="1" type="noConversion"/>
  </si>
  <si>
    <t>多種多様</t>
    <phoneticPr fontId="1" type="noConversion"/>
  </si>
  <si>
    <t>たしゅたよう</t>
    <phoneticPr fontId="1" type="noConversion"/>
  </si>
  <si>
    <t>多種多様</t>
  </si>
  <si>
    <t>妥当</t>
    <phoneticPr fontId="1" type="noConversion"/>
  </si>
  <si>
    <t>だとう</t>
    <phoneticPr fontId="1" type="noConversion"/>
  </si>
  <si>
    <t>楽しみ</t>
    <phoneticPr fontId="1" type="noConversion"/>
  </si>
  <si>
    <t>たのしみ</t>
    <phoneticPr fontId="1" type="noConversion"/>
  </si>
  <si>
    <t>頼もしい</t>
    <phoneticPr fontId="1" type="noConversion"/>
  </si>
  <si>
    <t>たのもしい</t>
    <phoneticPr fontId="1" type="noConversion"/>
  </si>
  <si>
    <t>可靠的</t>
    <phoneticPr fontId="1" type="noConversion"/>
  </si>
  <si>
    <t>多忙</t>
    <phoneticPr fontId="1" type="noConversion"/>
  </si>
  <si>
    <t>たぼう</t>
  </si>
  <si>
    <t>繁忙，忙碌，百忙</t>
  </si>
  <si>
    <t>彼は多忙な日々を送っている。他每天都过得非常忙碌。</t>
    <phoneticPr fontId="1" type="noConversion"/>
  </si>
  <si>
    <t>多忙のため、お返事が遅れてしまい申し訳ありません。由于繁忙，回复迟了，十分抱歉。</t>
    <phoneticPr fontId="1" type="noConversion"/>
  </si>
  <si>
    <t>社長は多忙を極めており、なかなか面会できない。社长极为繁忙，很难见到他。</t>
    <phoneticPr fontId="1" type="noConversion"/>
  </si>
  <si>
    <t>多忙な業務の合間を縫って、家族との時間を大切にしている。他在繁忙的工作之余也很重视和家人共度的时间。</t>
    <phoneticPr fontId="1" type="noConversion"/>
  </si>
  <si>
    <t>多忙な毎日（忙碌的日子）、多忙なスケジュール（紧凑的日程）、多忙な業務（繁忙的业务）、多忙を極める（极度忙碌）、多忙の中（在百忙之中）</t>
    <phoneticPr fontId="1" type="noConversion"/>
  </si>
  <si>
    <t>たま</t>
    <phoneticPr fontId="1" type="noConversion"/>
  </si>
  <si>
    <t>頼りない</t>
    <phoneticPr fontId="1" type="noConversion"/>
  </si>
  <si>
    <t>たよりない</t>
    <phoneticPr fontId="1" type="noConversion"/>
  </si>
  <si>
    <t>不可靠的、靠不住（不能信赖）</t>
    <phoneticPr fontId="1" type="noConversion"/>
  </si>
  <si>
    <t>彼は優しいけれど、ちょっと頼りない。虽然他很温柔，但有点靠不住。</t>
    <phoneticPr fontId="1" type="noConversion"/>
  </si>
  <si>
    <t>この頼りない足取りでは、山登りは無理だ。以这种不稳的步伐，没法爬山。</t>
    <phoneticPr fontId="1" type="noConversion"/>
  </si>
  <si>
    <t>新入社員にはまだ頼りなさがある。新来的职员还让人觉得不太可靠。</t>
    <phoneticPr fontId="1" type="noConversion"/>
  </si>
  <si>
    <t>頼りない人（不可靠的人）、頼りない返事（不明确的答复）、頼りない態度（没主见的态度）、頼りない声（虚弱的声音）、頼りない存在（不稳固的存在）</t>
    <phoneticPr fontId="1" type="noConversion"/>
  </si>
  <si>
    <t>だらしない</t>
    <phoneticPr fontId="1" type="noConversion"/>
  </si>
  <si>
    <t>だらしない</t>
  </si>
  <si>
    <t>散漫的，漫不经心的，邋遢的</t>
    <phoneticPr fontId="1" type="noConversion"/>
  </si>
  <si>
    <t>彼はいつもだらしない服装で学校に来る。他总是穿着邋遢地来学校。</t>
    <phoneticPr fontId="1" type="noConversion"/>
  </si>
  <si>
    <t>だらしない生活を続けると健康を害する。持续散漫的生活会影响健康。</t>
    <phoneticPr fontId="1" type="noConversion"/>
  </si>
  <si>
    <t>だらしない態度では信頼を失うよ。态度松懈会失去信任的。</t>
    <phoneticPr fontId="1" type="noConversion"/>
  </si>
  <si>
    <t>彼女のだらしない言動にみんなが呆れている。大家都对她不检点的言行感到无语。</t>
    <phoneticPr fontId="1" type="noConversion"/>
  </si>
  <si>
    <t>だらしない服装（邋遢的穿着）、だらしない生活（散漫的生活）、だらしない態度（松懈的态度）、だらしない性格（没有自律的性格）</t>
    <phoneticPr fontId="1" type="noConversion"/>
  </si>
  <si>
    <t>単純</t>
    <phoneticPr fontId="1" type="noConversion"/>
  </si>
  <si>
    <t>たんじゅん</t>
    <phoneticPr fontId="1" type="noConversion"/>
  </si>
  <si>
    <t>単調</t>
    <phoneticPr fontId="1" type="noConversion"/>
  </si>
  <si>
    <t>たんちょう</t>
    <phoneticPr fontId="1" type="noConversion"/>
  </si>
  <si>
    <t>着実</t>
    <phoneticPr fontId="1" type="noConversion"/>
  </si>
  <si>
    <t>ちゃくじつ</t>
    <phoneticPr fontId="1" type="noConversion"/>
  </si>
  <si>
    <t>踏实的，稳步的</t>
    <phoneticPr fontId="1" type="noConversion"/>
  </si>
  <si>
    <t>彼は着実に実力をつけている。——他稳扎稳打地提升了实力。</t>
    <phoneticPr fontId="1" type="noConversion"/>
  </si>
  <si>
    <t>仕事は着実に進んでいる。——工作在稳步推进。</t>
    <phoneticPr fontId="1" type="noConversion"/>
  </si>
  <si>
    <t>着実な努力が成功の鍵だ。——踏实的努力是成功的关键。</t>
    <phoneticPr fontId="1" type="noConversion"/>
  </si>
  <si>
    <t>着実に目標に近づいている。——稳步接近目标。</t>
    <phoneticPr fontId="1" type="noConversion"/>
  </si>
  <si>
    <t>着実な歩み：稳步前进
着実な成長：稳健成长
着実な進歩：踏实进步
着実な努力：踏实努力
着実に進む：稳步推进
着実に進める：稳扎稳打地推进
着実に成長する：稳健成长
着実に努力する：踏实努力</t>
    <phoneticPr fontId="1" type="noConversion"/>
  </si>
  <si>
    <t>抽象的</t>
    <phoneticPr fontId="1" type="noConversion"/>
  </si>
  <si>
    <t>ちゅうしょうてき</t>
    <phoneticPr fontId="1" type="noConversion"/>
  </si>
  <si>
    <t>中途半端</t>
    <phoneticPr fontId="1" type="noConversion"/>
  </si>
  <si>
    <t>ちゅうとはんぱ</t>
    <phoneticPr fontId="1" type="noConversion"/>
  </si>
  <si>
    <t>半途而废</t>
    <phoneticPr fontId="1" type="noConversion"/>
  </si>
  <si>
    <t>手軽</t>
  </si>
  <si>
    <t>てがる</t>
  </si>
  <si>
    <t>简便的；轻易的</t>
  </si>
  <si>
    <t>手軽な料理 简单的料理</t>
  </si>
  <si>
    <t>手軽にできる 轻松能做到</t>
  </si>
  <si>
    <t>手軽な価格 实惠的价格</t>
  </si>
  <si>
    <t>手軽に使える 用起来很方便</t>
  </si>
  <si>
    <t>的確</t>
    <phoneticPr fontId="1" type="noConversion"/>
  </si>
  <si>
    <t>てきかく</t>
    <phoneticPr fontId="1" type="noConversion"/>
  </si>
  <si>
    <r>
      <t>的确；</t>
    </r>
    <r>
      <rPr>
        <sz val="11"/>
        <color rgb="FFFF0000"/>
        <rFont val="等线"/>
        <family val="4"/>
        <charset val="134"/>
        <scheme val="minor"/>
      </rPr>
      <t>准确，合适</t>
    </r>
    <phoneticPr fontId="1" type="noConversion"/>
  </si>
  <si>
    <t>適切</t>
    <phoneticPr fontId="1" type="noConversion"/>
  </si>
  <si>
    <t>てきせつ</t>
    <phoneticPr fontId="1" type="noConversion"/>
  </si>
  <si>
    <t>合适，恰当</t>
    <phoneticPr fontId="1" type="noConversion"/>
  </si>
  <si>
    <t>凸凹</t>
    <phoneticPr fontId="1" type="noConversion"/>
  </si>
  <si>
    <t>でこぼこ</t>
    <phoneticPr fontId="1" type="noConversion"/>
  </si>
  <si>
    <r>
      <t>出</t>
    </r>
    <r>
      <rPr>
        <sz val="11"/>
        <color rgb="FFFF0000"/>
        <rFont val="游ゴシック"/>
        <family val="3"/>
        <charset val="128"/>
      </rPr>
      <t>鱈</t>
    </r>
    <r>
      <rPr>
        <sz val="11"/>
        <color theme="1"/>
        <rFont val="游ゴシック"/>
        <family val="2"/>
        <charset val="128"/>
      </rPr>
      <t>目/で</t>
    </r>
    <r>
      <rPr>
        <sz val="11"/>
        <color rgb="FFFF0000"/>
        <rFont val="游ゴシック"/>
        <family val="3"/>
        <charset val="128"/>
      </rPr>
      <t>たら</t>
    </r>
    <r>
      <rPr>
        <sz val="11"/>
        <color theme="1"/>
        <rFont val="游ゴシック"/>
        <family val="2"/>
        <charset val="128"/>
      </rPr>
      <t>め</t>
    </r>
    <phoneticPr fontId="1" type="noConversion"/>
  </si>
  <si>
    <t>でたらめ</t>
  </si>
  <si>
    <t>胡言乱语，不着边际</t>
    <phoneticPr fontId="1" type="noConversion"/>
  </si>
  <si>
    <t>彼は出鱈目なことばかり言う。 他总是胡说八道。</t>
    <phoneticPr fontId="1" type="noConversion"/>
  </si>
  <si>
    <t>出鱈目な説明で混乱した。 因为胡乱的说明搞得一团乱。</t>
    <phoneticPr fontId="1" type="noConversion"/>
  </si>
  <si>
    <t>そんな出鱈目なやり方ではうまくいかない。 那种胡来的做法行不通。</t>
    <phoneticPr fontId="1" type="noConversion"/>
  </si>
  <si>
    <t>試験で出鱈目に答えた。 考试时随便答的。</t>
    <phoneticPr fontId="1" type="noConversion"/>
  </si>
  <si>
    <t>出鱈目を言う	胡说八道
出鱈目な説明	胡乱的说明
出鱈目な行動	随便乱来的行为
出鱈目に答える	随便回答
出鱈目にやる	胡乱做事</t>
    <phoneticPr fontId="1" type="noConversion"/>
  </si>
  <si>
    <t>彼の話は信じられない、全部出鱈目だ。 他的说法不可信，全是胡扯。</t>
    <phoneticPr fontId="1" type="noConversion"/>
  </si>
  <si>
    <t>徹底的</t>
  </si>
  <si>
    <t>てっていてき</t>
  </si>
  <si>
    <t>典型的</t>
  </si>
  <si>
    <t>てんけいてき</t>
  </si>
  <si>
    <t>同一</t>
    <phoneticPr fontId="1" type="noConversion"/>
  </si>
  <si>
    <t>どういつ</t>
    <phoneticPr fontId="1" type="noConversion"/>
  </si>
  <si>
    <t>透明</t>
    <phoneticPr fontId="1" type="noConversion"/>
  </si>
  <si>
    <t>とうめい</t>
    <phoneticPr fontId="1" type="noConversion"/>
  </si>
  <si>
    <t>同様</t>
    <phoneticPr fontId="1" type="noConversion"/>
  </si>
  <si>
    <r>
      <rPr>
        <sz val="11"/>
        <color rgb="FFFF0000"/>
        <rFont val="等线"/>
        <family val="4"/>
        <charset val="134"/>
        <scheme val="minor"/>
      </rPr>
      <t>どう</t>
    </r>
    <r>
      <rPr>
        <sz val="11"/>
        <color theme="1"/>
        <rFont val="等线"/>
        <family val="2"/>
        <scheme val="minor"/>
      </rPr>
      <t>よう</t>
    </r>
    <phoneticPr fontId="1" type="noConversion"/>
  </si>
  <si>
    <t>独自</t>
    <phoneticPr fontId="1" type="noConversion"/>
  </si>
  <si>
    <t>どくじ</t>
    <phoneticPr fontId="1" type="noConversion"/>
  </si>
  <si>
    <t>特殊</t>
    <phoneticPr fontId="1" type="noConversion"/>
  </si>
  <si>
    <t>とくしゅ</t>
    <phoneticPr fontId="1" type="noConversion"/>
  </si>
  <si>
    <t>一般</t>
    <phoneticPr fontId="1" type="noConversion"/>
  </si>
  <si>
    <t>いっぱん</t>
    <phoneticPr fontId="1" type="noConversion"/>
  </si>
  <si>
    <t>特有</t>
    <phoneticPr fontId="1" type="noConversion"/>
  </si>
  <si>
    <t>とくゆう</t>
    <phoneticPr fontId="1" type="noConversion"/>
  </si>
  <si>
    <t>とんでもない</t>
    <phoneticPr fontId="1" type="noConversion"/>
  </si>
  <si>
    <t>とんでもない</t>
  </si>
  <si>
    <t>不可理喻，岂有此理、荒唐（表示强烈否定，语气激烈）； 哪里的话</t>
    <phoneticPr fontId="1" type="noConversion"/>
  </si>
  <si>
    <t>とんでもないことを言うな！别说荒唐的话！</t>
    <phoneticPr fontId="1" type="noConversion"/>
  </si>
  <si>
    <t>彼が犯人だなんて、とんでもないよ！他说他是犯人，简直荒谬！</t>
    <phoneticPr fontId="1" type="noConversion"/>
  </si>
  <si>
    <t>とんでもない失敗をしてしまった。我犯了一个严重的错误。</t>
    <phoneticPr fontId="1" type="noConversion"/>
  </si>
  <si>
    <t>褒めすぎですよ、とんでもないです。您太夸奖我了，哪儿的话。</t>
    <phoneticPr fontId="1" type="noConversion"/>
  </si>
  <si>
    <t>とんでもない話（荒唐的话）、とんでもない人（不可理喻的人）、とんでもない間違い（严重错误）、とんでもない要求（无理要求）、とんでもない冗談（荒唐玩笑）</t>
    <phoneticPr fontId="1" type="noConversion"/>
  </si>
  <si>
    <t>なだらか</t>
    <phoneticPr fontId="1" type="noConversion"/>
  </si>
  <si>
    <t>平稳；平缓； 顺畅的、流畅的（进行得平稳或语调温和）</t>
    <phoneticPr fontId="1" type="noConversion"/>
  </si>
  <si>
    <t>この道はなだらかで歩きやすい。这条路很平缓，走起来很轻松。</t>
    <phoneticPr fontId="1" type="noConversion"/>
  </si>
  <si>
    <t>なだらかな丘が続いていて、景色がとても美しい。缓丘连绵，景色十分优美。</t>
    <phoneticPr fontId="1" type="noConversion"/>
  </si>
  <si>
    <t>彼の話し方はなだらかで聞いていて落ち着く。他的说话方式温和，听起来让人很安心。</t>
    <phoneticPr fontId="1" type="noConversion"/>
  </si>
  <si>
    <t>山道はなだらかだが、長く続いていて意外と疲れる。山路虽平缓，但很长，出乎意料地累人。</t>
    <phoneticPr fontId="1" type="noConversion"/>
  </si>
  <si>
    <t>なだらかな坂（平缓的坡道）、なだらかな丘（缓丘）、なだらかなカーブ（平缓的弯道）、なだらかな流れ（顺畅的进展）、なだらかな口調（温和的语气）</t>
    <phoneticPr fontId="1" type="noConversion"/>
  </si>
  <si>
    <t>景気はなだらかに回復している。经济正在逐渐平稳恢复。</t>
    <phoneticPr fontId="1" type="noConversion"/>
  </si>
  <si>
    <t>軟弱</t>
    <phoneticPr fontId="1" type="noConversion"/>
  </si>
  <si>
    <t>なんじゃく</t>
    <phoneticPr fontId="1" type="noConversion"/>
  </si>
  <si>
    <t>憎らしい</t>
    <phoneticPr fontId="1" type="noConversion"/>
  </si>
  <si>
    <t>にくらしい</t>
    <phoneticPr fontId="1" type="noConversion"/>
  </si>
  <si>
    <t>令人讨厌的</t>
    <phoneticPr fontId="1" type="noConversion"/>
  </si>
  <si>
    <t>鈍い1</t>
    <phoneticPr fontId="1" type="noConversion"/>
  </si>
  <si>
    <t>にぶい</t>
  </si>
  <si>
    <r>
      <t>迟钝（反应慢、感知不灵敏）</t>
    </r>
    <r>
      <rPr>
        <sz val="11"/>
        <color theme="1"/>
        <rFont val="游ゴシック"/>
        <family val="2"/>
        <charset val="128"/>
      </rPr>
      <t>;</t>
    </r>
    <r>
      <rPr>
        <sz val="11"/>
        <color theme="1"/>
        <rFont val="等线"/>
        <family val="2"/>
        <scheme val="minor"/>
      </rPr>
      <t xml:space="preserve"> 不锋利、钝（刀具等）</t>
    </r>
    <r>
      <rPr>
        <sz val="11"/>
        <color theme="1"/>
        <rFont val="游ゴシック"/>
        <family val="2"/>
        <charset val="128"/>
      </rPr>
      <t>;</t>
    </r>
    <r>
      <rPr>
        <sz val="11"/>
        <color theme="1"/>
        <rFont val="等线"/>
        <family val="2"/>
        <scheme val="minor"/>
      </rPr>
      <t xml:space="preserve"> 暗淡、不鲜明（光、声音等）</t>
    </r>
    <phoneticPr fontId="1" type="noConversion"/>
  </si>
  <si>
    <t>彼は運動神経が鈍いので、球技が苦手だ。他运动神经迟钝，不擅长球类运动。</t>
    <phoneticPr fontId="1" type="noConversion"/>
  </si>
  <si>
    <t>このナイフは切れ味が鈍い。这把刀不锋利。</t>
    <phoneticPr fontId="1" type="noConversion"/>
  </si>
  <si>
    <r>
      <rPr>
        <sz val="11"/>
        <color rgb="FFFF0000"/>
        <rFont val="等线"/>
        <family val="4"/>
        <charset val="134"/>
        <scheme val="minor"/>
      </rPr>
      <t>年を取る</t>
    </r>
    <r>
      <rPr>
        <sz val="11"/>
        <color theme="1"/>
        <rFont val="等线"/>
        <family val="2"/>
        <scheme val="minor"/>
      </rPr>
      <t>と反応が鈍くなる。上了年纪反应就会变慢。</t>
    </r>
    <phoneticPr fontId="1" type="noConversion"/>
  </si>
  <si>
    <t>遠くで鈍い音が聞こえた。我听到远处传来沉闷的声音。</t>
    <phoneticPr fontId="1" type="noConversion"/>
  </si>
  <si>
    <t>動きが鈍い（动作迟缓）、頭の回転が鈍い（脑子转得慢）、痛みが鈍い（隐隐作痛）、反応が鈍い（反应迟钝）、鈍い音（沉闷的声音）、鈍い光（暗淡的光）</t>
    <phoneticPr fontId="1" type="noConversion"/>
  </si>
  <si>
    <t>にわか/俄</t>
    <phoneticPr fontId="1" type="noConversion"/>
  </si>
  <si>
    <t>にわか</t>
    <phoneticPr fontId="1" type="noConversion"/>
  </si>
  <si>
    <r>
      <t>突然发生的（如天气变化、事故）；</t>
    </r>
    <r>
      <rPr>
        <sz val="11"/>
        <color theme="1"/>
        <rFont val="游ゴシック"/>
        <family val="2"/>
        <charset val="128"/>
      </rPr>
      <t>在</t>
    </r>
    <r>
      <rPr>
        <sz val="11"/>
        <color theme="1"/>
        <rFont val="等线"/>
        <family val="2"/>
        <charset val="134"/>
      </rPr>
      <t>短时间内无法立刻</t>
    </r>
    <r>
      <rPr>
        <sz val="11"/>
        <color theme="1"/>
        <rFont val="等线"/>
        <family val="2"/>
        <scheme val="minor"/>
      </rPr>
      <t>；临时、刚入门、不够深入（如：にわかファン 临时粉丝）</t>
    </r>
    <phoneticPr fontId="1" type="noConversion"/>
  </si>
  <si>
    <t>にわか雨に降られてびしょ濡れになった。 被阵雨淋湿得全身透透的。</t>
    <phoneticPr fontId="1" type="noConversion"/>
  </si>
  <si>
    <r>
      <t>病状がにわかに変化した。病情</t>
    </r>
    <r>
      <rPr>
        <sz val="11"/>
        <color theme="1"/>
        <rFont val="DengXian"/>
        <family val="2"/>
        <charset val="134"/>
      </rPr>
      <t>突变</t>
    </r>
    <phoneticPr fontId="1" type="noConversion"/>
  </si>
  <si>
    <t>そのニュースはにわかには信じがたい。 那条新闻一时难以相信。</t>
    <phoneticPr fontId="1" type="noConversion"/>
  </si>
  <si>
    <r>
      <rPr>
        <sz val="11"/>
        <color theme="1"/>
        <rFont val="游ゴシック"/>
        <family val="2"/>
        <charset val="128"/>
      </rPr>
      <t>にわかには返答しかねる。</t>
    </r>
    <r>
      <rPr>
        <sz val="11"/>
        <color theme="1"/>
        <rFont val="等线"/>
        <family val="2"/>
        <charset val="134"/>
      </rPr>
      <t>很难立刻回答</t>
    </r>
    <phoneticPr fontId="1" type="noConversion"/>
  </si>
  <si>
    <t>にわか雨（にわかあめ）	突然下的雨、阵雨
にわか仕込み（にわかじこみ）	临时抱佛脚
にわかファン	临时粉、伪粉
にわかには信じがたい	难以突然相信
にわかに現れる	突然出现</t>
    <phoneticPr fontId="1" type="noConversion"/>
  </si>
  <si>
    <t>彼はにわかファンだから、知識が浅い。 他是临时粉丝，知识很浅。</t>
    <phoneticPr fontId="1" type="noConversion"/>
  </si>
  <si>
    <t>にわか仕込みの知識では試験に受からないよ。 临时抱佛脚的知识是考不上的。</t>
    <phoneticPr fontId="1" type="noConversion"/>
  </si>
  <si>
    <t>鈍い2</t>
    <phoneticPr fontId="1" type="noConversion"/>
  </si>
  <si>
    <t>のろい</t>
    <phoneticPr fontId="1" type="noConversion"/>
  </si>
  <si>
    <t>动作缓慢；头脑不灵活</t>
    <phoneticPr fontId="1" type="noConversion"/>
  </si>
  <si>
    <t>莫大</t>
    <phoneticPr fontId="1" type="noConversion"/>
  </si>
  <si>
    <t>ばくだい</t>
  </si>
  <si>
    <t>巨大</t>
  </si>
  <si>
    <t>そのプロジェクトには莫大な費用がかかった。那个项目花费了巨额资金。</t>
  </si>
  <si>
    <t>莫大な期待を寄せられているだけに、失敗は許されない。正因为被寄予厚望，才无法容许失败。</t>
    <phoneticPr fontId="1" type="noConversion"/>
  </si>
  <si>
    <t>彼の死は社会に莫大な衝撃を与えた。他的死给社会带来了巨大的冲击。</t>
    <phoneticPr fontId="1" type="noConversion"/>
  </si>
  <si>
    <t>莫大な利益を得る代わりに、大きなリスクも伴う。获得巨大利益的同时也伴随着巨大的风险。</t>
    <phoneticPr fontId="1" type="noConversion"/>
  </si>
  <si>
    <t xml:space="preserve">莫大な費用（巨额费用）、莫大な影響（巨大影响）、莫大な財産（庞大财产）、莫大な損害（重大损失）、莫大な利益（巨大收益）、莫大な期待（极大的期待）
</t>
    <phoneticPr fontId="1" type="noConversion"/>
  </si>
  <si>
    <t>その情報が莫大な価値を持っているとは、誰も気づかなかった。谁也没意识到那条信息价值巨大。</t>
    <phoneticPr fontId="1" type="noConversion"/>
  </si>
  <si>
    <t>爆発的</t>
    <phoneticPr fontId="1" type="noConversion"/>
  </si>
  <si>
    <t>ばくはつてき</t>
  </si>
  <si>
    <t>斜め</t>
    <phoneticPr fontId="1" type="noConversion"/>
  </si>
  <si>
    <t>ななめ</t>
    <phoneticPr fontId="1" type="noConversion"/>
  </si>
  <si>
    <t>倾斜、歪斜；心情不好</t>
    <phoneticPr fontId="1" type="noConversion"/>
  </si>
  <si>
    <t>その絵は少し斜めにかかっている。那幅画挂得有点歪。</t>
    <phoneticPr fontId="1" type="noConversion"/>
  </si>
  <si>
    <t>机が斜めになっていて物が転がってしまった。桌子歪着，东西滚下来了。</t>
    <phoneticPr fontId="1" type="noConversion"/>
  </si>
  <si>
    <t>彼は椅子に斜めに座っていた。他歪着身子坐在椅子上。</t>
    <phoneticPr fontId="1" type="noConversion"/>
  </si>
  <si>
    <t>母は朝から機嫌が斜めだ。妈妈从早上起心情就不好。</t>
    <phoneticPr fontId="1" type="noConversion"/>
  </si>
  <si>
    <t>斜めの線（斜线）、斜めの方向（斜向的方向）、斜めに傾く（倾斜）、斜め読み（略读）、機嫌が斜め（心情不好）、斜め上（非预期方向，引申为神展开）</t>
    <phoneticPr fontId="1" type="noConversion"/>
  </si>
  <si>
    <t>彼の考え方はいつも斜め上を行っている。他的想法总是出人意料、超出常规。</t>
    <phoneticPr fontId="1" type="noConversion"/>
  </si>
  <si>
    <t>はなはだし</t>
    <phoneticPr fontId="1" type="noConversion"/>
  </si>
  <si>
    <t>万能</t>
    <phoneticPr fontId="1" type="noConversion"/>
  </si>
  <si>
    <t>ばんのう</t>
    <phoneticPr fontId="1" type="noConversion"/>
  </si>
  <si>
    <t>卑怯</t>
    <phoneticPr fontId="1" type="noConversion"/>
  </si>
  <si>
    <t>ひきょう</t>
    <phoneticPr fontId="1" type="noConversion"/>
  </si>
  <si>
    <t>卑鄙；懦弱，胆小</t>
    <phoneticPr fontId="1" type="noConversion"/>
  </si>
  <si>
    <t>悲惨</t>
    <phoneticPr fontId="1" type="noConversion"/>
  </si>
  <si>
    <t>ひさん</t>
    <phoneticPr fontId="1" type="noConversion"/>
  </si>
  <si>
    <t>非常識</t>
    <phoneticPr fontId="1" type="noConversion"/>
  </si>
  <si>
    <t>ひじょうしき</t>
    <phoneticPr fontId="1" type="noConversion"/>
  </si>
  <si>
    <t>びしょびしょ</t>
    <phoneticPr fontId="1" type="noConversion"/>
  </si>
  <si>
    <t>びしょびしょ</t>
  </si>
  <si>
    <t>湿漉漉的</t>
    <phoneticPr fontId="1" type="noConversion"/>
  </si>
  <si>
    <t>突然の雨で服がびしょびしょになった。 突然下雨，衣服全湿透了。</t>
    <phoneticPr fontId="1" type="noConversion"/>
  </si>
  <si>
    <t>子どもがびしょびしょに濡れて帰ってきた。 孩子湿淋淋地回来了。</t>
    <phoneticPr fontId="1" type="noConversion"/>
  </si>
  <si>
    <t>汗でびしょびしょになった。 汗水湿透了全身。</t>
  </si>
  <si>
    <t>びしょびしょのタオルを絞った。 把湿透的毛巾拧干了。</t>
    <phoneticPr fontId="1" type="noConversion"/>
  </si>
  <si>
    <t>服がびしょびしょになる	衣服湿透
雨でびしょびしょになる	被雨淋湿
びしょびしょに濡れる	湿透了
びしょびしょの床	湿透的地板
びしょびしょに汗をかく	满身大汗</t>
    <phoneticPr fontId="1" type="noConversion"/>
  </si>
  <si>
    <t>雨の日は靴がびしょびしょになる。 雨天鞋子都会湿透。</t>
  </si>
  <si>
    <t>ひそやか</t>
    <phoneticPr fontId="1" type="noConversion"/>
  </si>
  <si>
    <t>寂静；偷偷的，低调的，悄悄的，</t>
    <phoneticPr fontId="1" type="noConversion"/>
  </si>
  <si>
    <t>ふたりはひそやかに会い続けていた。两人一直在悄悄见面。</t>
    <phoneticPr fontId="1" type="noConversion"/>
  </si>
  <si>
    <t>彼はひそやかな笑みを浮かべた。他露出了一丝低调而不动声色的微笑。</t>
    <phoneticPr fontId="1" type="noConversion"/>
  </si>
  <si>
    <t>その計画はひそやかに進められている。那个计划正在秘密地推进。</t>
    <phoneticPr fontId="1" type="noConversion"/>
  </si>
  <si>
    <t>否定的</t>
    <phoneticPr fontId="1" type="noConversion"/>
  </si>
  <si>
    <t>ひていてき</t>
    <phoneticPr fontId="1" type="noConversion"/>
  </si>
  <si>
    <t>等しい</t>
    <phoneticPr fontId="1" type="noConversion"/>
  </si>
  <si>
    <t>ひとしい</t>
    <phoneticPr fontId="1" type="noConversion"/>
  </si>
  <si>
    <t>皮肉</t>
    <phoneticPr fontId="1" type="noConversion"/>
  </si>
  <si>
    <t>ひにく</t>
    <phoneticPr fontId="1" type="noConversion"/>
  </si>
  <si>
    <t>讽刺的；挖苦</t>
    <phoneticPr fontId="1" type="noConversion"/>
  </si>
  <si>
    <t>評判</t>
    <phoneticPr fontId="1" type="noConversion"/>
  </si>
  <si>
    <t>ひょうばん</t>
    <phoneticPr fontId="1" type="noConversion"/>
  </si>
  <si>
    <t>貧困</t>
    <phoneticPr fontId="1" type="noConversion"/>
  </si>
  <si>
    <t>ひんこん</t>
    <phoneticPr fontId="1" type="noConversion"/>
  </si>
  <si>
    <t>不運</t>
    <phoneticPr fontId="1" type="noConversion"/>
  </si>
  <si>
    <t>不快</t>
    <phoneticPr fontId="1" type="noConversion"/>
  </si>
  <si>
    <t>ふかい</t>
    <phoneticPr fontId="1" type="noConversion"/>
  </si>
  <si>
    <t>深い</t>
    <phoneticPr fontId="1" type="noConversion"/>
  </si>
  <si>
    <t>不確実</t>
    <phoneticPr fontId="1" type="noConversion"/>
  </si>
  <si>
    <t>ふうん</t>
    <phoneticPr fontId="1" type="noConversion"/>
  </si>
  <si>
    <r>
      <t>不可</t>
    </r>
    <r>
      <rPr>
        <sz val="11"/>
        <color rgb="FFFF0000"/>
        <rFont val="游ゴシック"/>
        <family val="3"/>
        <charset val="128"/>
      </rPr>
      <t>欠</t>
    </r>
    <phoneticPr fontId="1" type="noConversion"/>
  </si>
  <si>
    <r>
      <t>ふか</t>
    </r>
    <r>
      <rPr>
        <sz val="11"/>
        <color rgb="FFFF0000"/>
        <rFont val="等线"/>
        <family val="4"/>
        <charset val="134"/>
        <scheme val="minor"/>
      </rPr>
      <t>けつ</t>
    </r>
    <phoneticPr fontId="1" type="noConversion"/>
  </si>
  <si>
    <t>不可或缺，必不可少</t>
  </si>
  <si>
    <t>欠（注意不要记成けん）</t>
  </si>
  <si>
    <t>けつ</t>
  </si>
  <si>
    <t>不完全</t>
  </si>
  <si>
    <t>ふかんぜん</t>
  </si>
  <si>
    <t>不規則</t>
  </si>
  <si>
    <t>ふきそく</t>
  </si>
  <si>
    <t>不景気</t>
    <phoneticPr fontId="1" type="noConversion"/>
  </si>
  <si>
    <t>ふけいき</t>
    <phoneticPr fontId="1" type="noConversion"/>
  </si>
  <si>
    <t>不景气</t>
    <phoneticPr fontId="1" type="noConversion"/>
  </si>
  <si>
    <t xml:space="preserve">最近は長引く不景気で倒産する会社も多い。 最近由于长期不景气，倒闭的公司也很多。
</t>
    <phoneticPr fontId="1" type="noConversion"/>
  </si>
  <si>
    <t>不景気の影響で就職が難しくなっている。 受经济不景气影响，就业变得困难。</t>
    <phoneticPr fontId="1" type="noConversion"/>
  </si>
  <si>
    <t>この業界は不景気に強いと言われている。 据说这个行业在不景气时依然稳健。</t>
    <phoneticPr fontId="1" type="noConversion"/>
  </si>
  <si>
    <t>ボーナスが減って、不景気を実感した。 奖金减少了，真切感受到了经济不景气。</t>
    <phoneticPr fontId="1" type="noConversion"/>
  </si>
  <si>
    <t>不景気になる	变得经济萧条
不景気が続く	不景气持续
不景気の影響	不景气的影响
不景気に強い企業	不景气下仍然强劲的企业</t>
    <phoneticPr fontId="1" type="noConversion"/>
  </si>
  <si>
    <t>不潔</t>
  </si>
  <si>
    <t>ふけつ</t>
  </si>
  <si>
    <t>不干净，肮脏；不纯洁</t>
  </si>
  <si>
    <t>不正</t>
    <phoneticPr fontId="1" type="noConversion"/>
  </si>
  <si>
    <t>ふせい</t>
    <phoneticPr fontId="1" type="noConversion"/>
  </si>
  <si>
    <t>不確か</t>
    <phoneticPr fontId="1" type="noConversion"/>
  </si>
  <si>
    <t>ふたしか</t>
    <phoneticPr fontId="1" type="noConversion"/>
  </si>
  <si>
    <t>物騒</t>
  </si>
  <si>
    <t>ぶっそう</t>
  </si>
  <si>
    <t>不太平，不安全，危险，动荡</t>
  </si>
  <si>
    <t>物騒な世の中になったものだ。 社会真是变得不太平了啊。</t>
  </si>
  <si>
    <t>この道は夜になると物騒だから、気をつけて。 这条路一到晚上就很不安全，注意点。</t>
  </si>
  <si>
    <t>最近、この辺は物騒な事件が多い。 最近这附近发生了很多不安事件。</t>
  </si>
  <si>
    <t>部分的</t>
    <phoneticPr fontId="1" type="noConversion"/>
  </si>
  <si>
    <t>ぶぶんてき</t>
    <phoneticPr fontId="1" type="noConversion"/>
  </si>
  <si>
    <t>不平</t>
    <phoneticPr fontId="1" type="noConversion"/>
  </si>
  <si>
    <t>ふへい</t>
    <phoneticPr fontId="1" type="noConversion"/>
  </si>
  <si>
    <t>牢骚，抱怨，不满，不公平</t>
    <phoneticPr fontId="1" type="noConversion"/>
  </si>
  <si>
    <t>彼はいつも不平ばかり言っている。他总是在抱怨。</t>
  </si>
  <si>
    <t>従業員たちは給料に不平を漏らしていた。员工们对工资表示不满。</t>
  </si>
  <si>
    <t>上司の態度に不平を感じた。对上司的态度感到不满。</t>
  </si>
  <si>
    <t>そんなに不平不満を言っても何も変わらないよ。你抱怨这么多也没用啊。</t>
  </si>
  <si>
    <t>不平を言う：发牢骚，抱怨
不平を漏らす：吐露不满
不平を感じる：感到不公平
不平を抱く（いだく）：心中有不满
不平を並べる：一连串地抱怨
不平不満を言う：发各种牢骚（加强语气）</t>
    <phoneticPr fontId="1" type="noConversion"/>
  </si>
  <si>
    <t>普遍的</t>
    <phoneticPr fontId="1" type="noConversion"/>
  </si>
  <si>
    <t>ふへんてき</t>
    <phoneticPr fontId="1" type="noConversion"/>
  </si>
  <si>
    <t>不満足</t>
    <phoneticPr fontId="1" type="noConversion"/>
  </si>
  <si>
    <t>ふまんぞく</t>
    <phoneticPr fontId="1" type="noConversion"/>
  </si>
  <si>
    <t>不満足</t>
  </si>
  <si>
    <t>不明</t>
    <phoneticPr fontId="1" type="noConversion"/>
  </si>
  <si>
    <t>ふめい</t>
    <phoneticPr fontId="1" type="noConversion"/>
  </si>
  <si>
    <t>不利</t>
    <phoneticPr fontId="1" type="noConversion"/>
  </si>
  <si>
    <t>ふり</t>
    <phoneticPr fontId="1" type="noConversion"/>
  </si>
  <si>
    <t>不良</t>
    <phoneticPr fontId="1" type="noConversion"/>
  </si>
  <si>
    <t>ふりょう</t>
    <phoneticPr fontId="1" type="noConversion"/>
  </si>
  <si>
    <t>無礼</t>
    <phoneticPr fontId="1" type="noConversion"/>
  </si>
  <si>
    <t>ぶれい</t>
    <phoneticPr fontId="1" type="noConversion"/>
  </si>
  <si>
    <t>无礼，失礼</t>
    <phoneticPr fontId="1" type="noConversion"/>
  </si>
  <si>
    <t>彼の無礼な態度に皆が驚いた。 他那无礼的态度让大家都很吃惊。</t>
    <phoneticPr fontId="1" type="noConversion"/>
  </si>
  <si>
    <t>無礼なことを言ってしまい、申し訳ありません。 说了无礼的话，实在对不起。</t>
    <phoneticPr fontId="1" type="noConversion"/>
  </si>
  <si>
    <t>無礼を働いた者は、厳しく罰せられる。 对无礼之人将予以严惩。</t>
    <phoneticPr fontId="1" type="noConversion"/>
  </si>
  <si>
    <t>長らくご無礼しておりました。 许久未联系，失礼了。</t>
    <phoneticPr fontId="1" type="noConversion"/>
  </si>
  <si>
    <t>無礼な態度	无礼的态度
無礼な発言	失礼的发言
無礼を働く	做出无礼的行为
無礼をお許しください	请原谅我的失礼
ご無礼いたしました	我失礼了</t>
    <phoneticPr fontId="1" type="noConversion"/>
  </si>
  <si>
    <t>先ほどの発言が無礼に聞こえたら、お詫びします。 如果刚才的发言听起来有失礼之处，还请见谅。</t>
    <phoneticPr fontId="1" type="noConversion"/>
  </si>
  <si>
    <r>
      <t>平</t>
    </r>
    <r>
      <rPr>
        <sz val="11"/>
        <color rgb="FFFF0000"/>
        <rFont val="游ゴシック"/>
        <family val="3"/>
        <charset val="128"/>
      </rPr>
      <t>凡</t>
    </r>
    <phoneticPr fontId="1" type="noConversion"/>
  </si>
  <si>
    <r>
      <t>へい</t>
    </r>
    <r>
      <rPr>
        <sz val="11"/>
        <color rgb="FFFF0000"/>
        <rFont val="游ゴシック"/>
        <family val="3"/>
        <charset val="128"/>
      </rPr>
      <t>ぼん</t>
    </r>
    <phoneticPr fontId="1" type="noConversion"/>
  </si>
  <si>
    <t>平和</t>
    <phoneticPr fontId="1" type="noConversion"/>
  </si>
  <si>
    <t>へいわ</t>
    <phoneticPr fontId="1" type="noConversion"/>
  </si>
  <si>
    <r>
      <rPr>
        <sz val="11"/>
        <color rgb="FFFF0000"/>
        <rFont val="游ゴシック"/>
        <family val="3"/>
        <charset val="128"/>
      </rPr>
      <t>膨</t>
    </r>
    <r>
      <rPr>
        <sz val="11"/>
        <color theme="1"/>
        <rFont val="游ゴシック"/>
        <family val="2"/>
        <charset val="128"/>
      </rPr>
      <t>大</t>
    </r>
    <phoneticPr fontId="1" type="noConversion"/>
  </si>
  <si>
    <r>
      <rPr>
        <sz val="11"/>
        <color rgb="FFFF0000"/>
        <rFont val="游ゴシック"/>
        <family val="3"/>
        <charset val="128"/>
      </rPr>
      <t>ぼう</t>
    </r>
    <r>
      <rPr>
        <sz val="11"/>
        <color theme="1"/>
        <rFont val="游ゴシック"/>
        <family val="2"/>
        <charset val="128"/>
      </rPr>
      <t>だい</t>
    </r>
    <phoneticPr fontId="1" type="noConversion"/>
  </si>
  <si>
    <t>庞大，数量或规模非常大</t>
    <phoneticPr fontId="1" type="noConversion"/>
  </si>
  <si>
    <t>ぼう不是ぼく</t>
    <phoneticPr fontId="1" type="noConversion"/>
  </si>
  <si>
    <t>その計画には膨大な費用がかかる。 那个计划需要花费巨额经费。</t>
    <phoneticPr fontId="1" type="noConversion"/>
  </si>
  <si>
    <t>膨大なデータを処理するには高性能なコンピュータが必要だ。 处理庞大的数据需要高性能的电脑。</t>
    <phoneticPr fontId="1" type="noConversion"/>
  </si>
  <si>
    <t>ネットには膨大な情報があふれている。 网络上充斥着海量的信息。</t>
    <phoneticPr fontId="1" type="noConversion"/>
  </si>
  <si>
    <t>彼は膨大なコレクションを持っている。 他拥有庞大的收藏。</t>
    <phoneticPr fontId="1" type="noConversion"/>
  </si>
  <si>
    <t>膨大なデータ	庞大的数据
膨大な費用	巨额费用
膨大な量	巨大的数量
膨大な情報	海量信息
膨大な資源	大量资源</t>
    <phoneticPr fontId="1" type="noConversion"/>
  </si>
  <si>
    <t>この研究には膨大な時間と労力が必要だ。 这项研究需要大量的时间和精力。</t>
    <phoneticPr fontId="1" type="noConversion"/>
  </si>
  <si>
    <r>
      <rPr>
        <sz val="11"/>
        <color rgb="FFFF0000"/>
        <rFont val="游ゴシック"/>
        <family val="3"/>
        <charset val="128"/>
      </rPr>
      <t>保守</t>
    </r>
    <r>
      <rPr>
        <sz val="11"/>
        <color theme="1"/>
        <rFont val="游ゴシック"/>
        <family val="2"/>
        <charset val="128"/>
      </rPr>
      <t>的</t>
    </r>
    <phoneticPr fontId="1" type="noConversion"/>
  </si>
  <si>
    <r>
      <rPr>
        <sz val="11"/>
        <color rgb="FFFF0000"/>
        <rFont val="游ゴシック"/>
        <family val="3"/>
        <charset val="128"/>
      </rPr>
      <t>ほしゅ</t>
    </r>
    <r>
      <rPr>
        <sz val="11"/>
        <color theme="1"/>
        <rFont val="游ゴシック"/>
        <family val="2"/>
        <charset val="128"/>
      </rPr>
      <t>てき</t>
    </r>
    <phoneticPr fontId="1" type="noConversion"/>
  </si>
  <si>
    <t>保守的</t>
  </si>
  <si>
    <t>革新的</t>
    <phoneticPr fontId="1" type="noConversion"/>
  </si>
  <si>
    <t>かくしんてき</t>
    <phoneticPr fontId="1" type="noConversion"/>
  </si>
  <si>
    <t>有创新的</t>
    <phoneticPr fontId="1" type="noConversion"/>
  </si>
  <si>
    <t>彼の発想はいつも革新的（かくしんてき）で、周囲を驚かせる。他的想法总是很有创新性，让周围的人吃惊。</t>
    <phoneticPr fontId="1" type="noConversion"/>
  </si>
  <si>
    <t>革新的（かくしんてき）な製品を開発するために、多くの研究費が必要だ。为了开发创新性的产品，需要大量的研发经费。</t>
    <phoneticPr fontId="1" type="noConversion"/>
  </si>
  <si>
    <t>このサービスは革新的（かくしんてき）すぎて、最初は誰も理解できなかった。这个服务太创新了，一开始没人理解。</t>
    <phoneticPr fontId="1" type="noConversion"/>
  </si>
  <si>
    <t>ぼろぼろ</t>
    <phoneticPr fontId="1" type="noConversion"/>
  </si>
  <si>
    <t>破破烂烂；精神/身体状况很糟；碎裂、掉落的样子</t>
    <phoneticPr fontId="1" type="noConversion"/>
  </si>
  <si>
    <t>古い家は雨で壁がぼろぼろになった。老房子的墙被雨水弄得破破烂烂。</t>
    <phoneticPr fontId="1" type="noConversion"/>
  </si>
  <si>
    <t>彼は徹夜続きで体がぼろぼろだ。他连续熬夜，身体已经糟透了。</t>
    <phoneticPr fontId="1" type="noConversion"/>
  </si>
  <si>
    <t>テストでぼろぼろの点数を取ってしまった。考试拿了非常糟糕的分数。</t>
    <phoneticPr fontId="1" type="noConversion"/>
  </si>
  <si>
    <t>涙がぼろぼろこぼれ落ちた。眼泪不断地扑簌簌掉下来。</t>
    <phoneticPr fontId="1" type="noConversion"/>
  </si>
  <si>
    <t>本格的</t>
    <phoneticPr fontId="1" type="noConversion"/>
  </si>
  <si>
    <t>ほんかくてき</t>
    <phoneticPr fontId="1" type="noConversion"/>
  </si>
  <si>
    <t>真正的，正宗的，正规的，正式的</t>
    <phoneticPr fontId="1" type="noConversion"/>
  </si>
  <si>
    <t>来年から本格的に仕事を探し始める。明年开始正式找工作。</t>
    <phoneticPr fontId="1" type="noConversion"/>
  </si>
  <si>
    <t>このレストランは本格的なフランス料理が楽しめる。这家餐厅能吃到地道的法式料理。</t>
    <phoneticPr fontId="1" type="noConversion"/>
  </si>
  <si>
    <t>本格的な冬が到来した。真正的冬天来了。</t>
    <phoneticPr fontId="1" type="noConversion"/>
  </si>
  <si>
    <t>本格的に日本語を勉強したいと思っている。我想系统地学习日语。</t>
    <phoneticPr fontId="1" type="noConversion"/>
  </si>
  <si>
    <t>本格的な料理	正宗料理
本格的に始める	正式开始
本格的な訓練	正式训练
本格的な夏	正式进入夏季</t>
    <phoneticPr fontId="1" type="noConversion"/>
  </si>
  <si>
    <t>彼は本格的な訓練を受けてプロになった。他接受了正式训练，成了专业人士。</t>
    <phoneticPr fontId="1" type="noConversion"/>
  </si>
  <si>
    <t>本質的</t>
    <phoneticPr fontId="1" type="noConversion"/>
  </si>
  <si>
    <t>ほんしつてき</t>
    <phoneticPr fontId="1" type="noConversion"/>
  </si>
  <si>
    <t>間近</t>
    <phoneticPr fontId="1" type="noConversion"/>
  </si>
  <si>
    <t>まぢか</t>
    <phoneticPr fontId="1" type="noConversion"/>
  </si>
  <si>
    <t>时间上：即将、临近、快要到来；空间上：眼前、近距离、近在咫尺</t>
    <phoneticPr fontId="1" type="noConversion"/>
  </si>
  <si>
    <t>卒業式が間近に迫ってきた。 毕业典礼即将到来。</t>
    <phoneticPr fontId="1" type="noConversion"/>
  </si>
  <si>
    <t>試合が間近に控えているので、練習に集中している。 因为比赛临近，正在集中训练。</t>
    <phoneticPr fontId="1" type="noConversion"/>
  </si>
  <si>
    <t>この動物は間近で見ると迫力がある。 这种动物近距离看起来很有震撼力。</t>
    <phoneticPr fontId="1" type="noConversion"/>
  </si>
  <si>
    <t>彼女を間近に見るのは初めてだ。 第一次这么近距离地看到她。</t>
    <phoneticPr fontId="1" type="noConversion"/>
  </si>
  <si>
    <t>間近に迫る（まぢかにせまる）	临近、逼近
間近で見る	近距离观看
卒業を間近に控える	即将毕业
試験が間近だ	考试临近
間近の予定	最近的计划</t>
    <phoneticPr fontId="1" type="noConversion"/>
  </si>
  <si>
    <t>面接の日時が間近に決まった。 面试的时间马上就定下来了。</t>
    <phoneticPr fontId="1" type="noConversion"/>
  </si>
  <si>
    <t>稀</t>
    <phoneticPr fontId="1" type="noConversion"/>
  </si>
  <si>
    <t>まれ</t>
    <phoneticPr fontId="1" type="noConversion"/>
  </si>
  <si>
    <t>見事</t>
  </si>
  <si>
    <t>みごと</t>
  </si>
  <si>
    <t>漂亮的，出色的，精彩的；漂亮地（做成某事）（副词用法）；彻底；完全（带有“彻底失败”或“彻底…了”的语感）</t>
  </si>
  <si>
    <t>見事に解決した。漂亮的解决了</t>
  </si>
  <si>
    <t>見事な景色に心を奪われた。被漂亮的景色所吸引。</t>
  </si>
  <si>
    <t>チームは見事な勝利を収めた。球队取得了出色的胜利。</t>
  </si>
  <si>
    <t>彼のピアノ演奏は本当に見事だった。（他的钢琴演奏真是精彩极了）</t>
  </si>
  <si>
    <t>見事な演技／技／景色：精彩的表演／技艺／风景
見事に成功する／失敗する：完全成功／彻底失败
見事に裏切られた：被彻底背叛了
見事な手並み：高超的手艺</t>
  </si>
  <si>
    <t>見事に予想が当たった。（完全猜中了）</t>
  </si>
  <si>
    <t>テストは見事に全滅だった。（考试彻底全军覆没）</t>
  </si>
  <si>
    <t>水っぽい</t>
    <phoneticPr fontId="1" type="noConversion"/>
  </si>
  <si>
    <t>みずっぽい</t>
    <phoneticPr fontId="1" type="noConversion"/>
  </si>
  <si>
    <t>含水多的、稀薄的、像水一样的</t>
    <phoneticPr fontId="1" type="noConversion"/>
  </si>
  <si>
    <t>形容东西水分多，味道淡、稀薄，或质地像水一样</t>
    <phoneticPr fontId="1" type="noConversion"/>
  </si>
  <si>
    <t>このスープは水っぽくて味が薄い。 这汤太稀，味道很淡。</t>
    <phoneticPr fontId="1" type="noConversion"/>
  </si>
  <si>
    <t>料理を作りすぎて水っぽくなった。 做菜做多了，变得太稀了。</t>
    <phoneticPr fontId="1" type="noConversion"/>
  </si>
  <si>
    <t>この土は水っぽくて植木に向かない。 这土水分多，不适合种树。</t>
    <phoneticPr fontId="1" type="noConversion"/>
  </si>
  <si>
    <t>彼は決断力がなくて水っぽい性格だ。 他没有决断力，性格优柔寡断。</t>
    <phoneticPr fontId="1" type="noConversion"/>
  </si>
  <si>
    <t>スープが水っぽい	汤太稀薄
味が水っぽい	味道很淡
料理が水っぽくなる	菜变得太稀
水っぽい土	水分含量高的土壤
水っぽい性格	优柔寡断的性格（比喻用法）</t>
    <phoneticPr fontId="1" type="noConversion"/>
  </si>
  <si>
    <t>ジュースが水っぽく感じる。 果汁喝起来像水一样稀薄。</t>
    <phoneticPr fontId="1" type="noConversion"/>
  </si>
  <si>
    <t>みっともない</t>
    <phoneticPr fontId="1" type="noConversion"/>
  </si>
  <si>
    <t>难看的，不体面的</t>
    <phoneticPr fontId="1" type="noConversion"/>
  </si>
  <si>
    <t>酔っ払ってみっともないことを言った。 喝醉了说了丢脸的话。</t>
    <phoneticPr fontId="1" type="noConversion"/>
  </si>
  <si>
    <t>そんなみっともない格好で外に出ないでください。 不要穿成那样难看地出门。</t>
    <phoneticPr fontId="1" type="noConversion"/>
  </si>
  <si>
    <t>彼の態度はみっともないと思う。 我觉得他的态度很不得体。</t>
    <phoneticPr fontId="1" type="noConversion"/>
  </si>
  <si>
    <t>みっともない言い訳はやめなさい。 别再说那些没面子的借口了。</t>
    <phoneticPr fontId="1" type="noConversion"/>
  </si>
  <si>
    <t>みっともない格好	不体面的打扮
みっともない言動	丢脸的言行
みっともない姿	难看的样子
みっともない態度	不得体的态度
みっともないことをする	做丢脸的事</t>
    <phoneticPr fontId="1" type="noConversion"/>
  </si>
  <si>
    <t>人前で泣くのはみっともないと思う人もいる。 有人觉得在人前哭很丢脸。</t>
    <phoneticPr fontId="1" type="noConversion"/>
  </si>
  <si>
    <t>妙</t>
  </si>
  <si>
    <t>みょう</t>
  </si>
  <si>
    <t>“奇怪”、“怪怪的”;奇妙，巧妙</t>
  </si>
  <si>
    <t>妙な夢を見た。做了奇怪的梦</t>
  </si>
  <si>
    <t>この部屋、なんだか妙に静かだ。 这个房间不知为何出奇地安静。</t>
  </si>
  <si>
    <t>妙な顔をしている。 脸上带着奇怪的表情。</t>
  </si>
  <si>
    <t>彼女の話し方には妙な魅力がある。 她的说话方式有种奇妙的魅力。</t>
  </si>
  <si>
    <t>妙なアイディアだが、うまくいきそうだ。 虽然是个奇妙的主意，但看起来能成。</t>
  </si>
  <si>
    <t>無意識</t>
  </si>
  <si>
    <t>むいしき</t>
  </si>
  <si>
    <t>无意识</t>
  </si>
  <si>
    <t>無意味</t>
  </si>
  <si>
    <t>むいみ</t>
  </si>
  <si>
    <t>无意义,无价值</t>
  </si>
  <si>
    <r>
      <t>無計</t>
    </r>
    <r>
      <rPr>
        <sz val="11"/>
        <color rgb="FFFF0000"/>
        <rFont val="游ゴシック"/>
        <family val="3"/>
        <charset val="128"/>
      </rPr>
      <t>画</t>
    </r>
    <phoneticPr fontId="1" type="noConversion"/>
  </si>
  <si>
    <r>
      <t>むけい</t>
    </r>
    <r>
      <rPr>
        <sz val="11"/>
        <color rgb="FFFF0000"/>
        <rFont val="游ゴシック"/>
        <family val="3"/>
        <charset val="128"/>
      </rPr>
      <t>かく</t>
    </r>
    <phoneticPr fontId="1" type="noConversion"/>
  </si>
  <si>
    <t>无计划</t>
    <phoneticPr fontId="1" type="noConversion"/>
  </si>
  <si>
    <t>無限</t>
  </si>
  <si>
    <t>むげん</t>
  </si>
  <si>
    <t>無邪気</t>
  </si>
  <si>
    <t>むじゃき</t>
  </si>
  <si>
    <t>天真无邪</t>
  </si>
  <si>
    <t>無神経</t>
  </si>
  <si>
    <t>むしんけい</t>
  </si>
  <si>
    <t>神经大条，反应迟钝；毫不在意；毫不顾忌，不敏感、不顾别人感受</t>
  </si>
  <si>
    <t>彼は無神経なことを平気で言う。他毫不顾忌地说出让人不快的话。</t>
  </si>
  <si>
    <t>そんな無神経な態度では嫌われるよ。那种神经大条的态度会被人讨厌的哦。</t>
  </si>
  <si>
    <t>彼女は無神経だから、悪口を言われても気にしない。她神经很大条，就算被说坏话也不在意。</t>
  </si>
  <si>
    <t>無数</t>
  </si>
  <si>
    <t>むすう</t>
  </si>
  <si>
    <t>無用</t>
    <phoneticPr fontId="1" type="noConversion"/>
  </si>
  <si>
    <t>むよう</t>
    <phoneticPr fontId="1" type="noConversion"/>
  </si>
  <si>
    <t>無用</t>
  </si>
  <si>
    <t>明確</t>
    <phoneticPr fontId="1" type="noConversion"/>
  </si>
  <si>
    <t>めいかく</t>
    <phoneticPr fontId="1" type="noConversion"/>
  </si>
  <si>
    <t>彼は自分の意見を明確に述べた。他明确地表达了自己的意见。</t>
  </si>
  <si>
    <t>明確なルールがなければ、皆が困ります。没有明确的规则，大家都会感到困惑。</t>
  </si>
  <si>
    <t>この件については、まだ明確な答えが出ていない。关于这件事，目前还没有明确的答复。</t>
  </si>
  <si>
    <t>目的を明確にすれば、行動もしやすくなる。一旦目标明确，行动就会变得容易。</t>
  </si>
  <si>
    <t>明確な理由（明确的理由）、明確な目標（明确目标）、明確にする（弄清楚）、責任を明確にする（明确责任）、態度が明確だ（态度明确）</t>
    <phoneticPr fontId="1" type="noConversion"/>
  </si>
  <si>
    <t>責任の所在を明確にする必要があります。有必要明确责任归属。</t>
  </si>
  <si>
    <t>珍しい</t>
    <phoneticPr fontId="1" type="noConversion"/>
  </si>
  <si>
    <t>めずらしい</t>
    <phoneticPr fontId="1" type="noConversion"/>
  </si>
  <si>
    <t>稀奇的，少见的、稀有的</t>
    <phoneticPr fontId="1" type="noConversion"/>
  </si>
  <si>
    <t>この鳥は日本ではとても珍しい。この种鸟在日本非常稀有。</t>
    <phoneticPr fontId="1" type="noConversion"/>
  </si>
  <si>
    <t>彼が早起きするなんて珍しい。真稀奇，他居然早起了。</t>
    <phoneticPr fontId="1" type="noConversion"/>
  </si>
  <si>
    <t>こんなに静かな都会の夜は珍しい。像这样安静的都市夜晚很少见。</t>
    <phoneticPr fontId="1" type="noConversion"/>
  </si>
  <si>
    <t>海外での生活は私にとって珍しい体験だった。在国外生活对我来说是一次难得的经历。</t>
    <phoneticPr fontId="1" type="noConversion"/>
  </si>
  <si>
    <t>珍しい動物（稀有动物）、珍しい体験（难得的体验）、珍しい料理（少见的料理）、珍しい名前（少见的名字）、珍しい天気（反常的天气）</t>
    <phoneticPr fontId="1" type="noConversion"/>
  </si>
  <si>
    <t>その果物は珍しくて、なかなか手に入らない。那种水果很稀有，很难买到。</t>
    <phoneticPr fontId="1" type="noConversion"/>
  </si>
  <si>
    <t>滅茶滅茶</t>
  </si>
  <si>
    <t>めちゃめちゃ</t>
  </si>
  <si>
    <t>非常、特别、超级（强调程度极高）；混乱、乱七八糟（也写作「滅茶滅茶」）</t>
    <phoneticPr fontId="1" type="noConversion"/>
  </si>
  <si>
    <t>「めちゃくちゃ」和「めちゃめちゃ」几乎可以互换，在多数场合意思、语感差不多</t>
    <phoneticPr fontId="1" type="noConversion"/>
  </si>
  <si>
    <t>このラーメン、めちゃめちゃ美味しいよ。这碗拉面超级好吃！</t>
    <phoneticPr fontId="1" type="noConversion"/>
  </si>
  <si>
    <t>朝からめちゃめちゃ寒くて、外に出たくない。早上开始就特别冷，完全不想出门。</t>
    <phoneticPr fontId="1" type="noConversion"/>
  </si>
  <si>
    <t>子供たちが遊んで、部屋がめちゃめちゃになった。孩子们玩过之后，房间变得乱七八糟。</t>
    <phoneticPr fontId="1" type="noConversion"/>
  </si>
  <si>
    <t>試験の点数がめちゃめちゃで、親に怒られた。考试成绩太惨了，被父母骂了。</t>
    <phoneticPr fontId="1" type="noConversion"/>
  </si>
  <si>
    <t>めちゃめちゃ美味しい（超级好吃）、めちゃめちゃ寒い（特别冷）、部屋がめちゃめちゃ（房间一团糟）、めちゃめちゃに壊れる（被弄得乱七八糟）</t>
    <phoneticPr fontId="1" type="noConversion"/>
  </si>
  <si>
    <t>風で髪がめちゃめちゃになっちゃった。头发被风吹得乱七八糟了。</t>
    <phoneticPr fontId="1" type="noConversion"/>
  </si>
  <si>
    <t>滅茶苦茶</t>
    <phoneticPr fontId="1" type="noConversion"/>
  </si>
  <si>
    <t>めちゃくちゃ</t>
  </si>
  <si>
    <t>非常、特别、超级（强调程度极高）； 乱七八糟、混乱（秩序紊乱或状态严重破坏）；荒唐、不合理（言行不合逻辑）</t>
    <phoneticPr fontId="1" type="noConversion"/>
  </si>
  <si>
    <t>このカレー、めちゃくちゃ美味しいね！这咖喱超级好吃！</t>
    <phoneticPr fontId="1" type="noConversion"/>
  </si>
  <si>
    <t>子供たちが暴れて、部屋がめちゃくちゃだ。孩子们闹腾了一通，房间乱七八糟的。</t>
    <phoneticPr fontId="1" type="noConversion"/>
  </si>
  <si>
    <t>彼の説明はめちゃくちゃで、全然分からない。他的说明乱七八糟，完全听不懂。</t>
    <phoneticPr fontId="1" type="noConversion"/>
  </si>
  <si>
    <t>台風で街がめちゃくちゃになった。台风把整座城市弄得一团糟。</t>
    <phoneticPr fontId="1" type="noConversion"/>
  </si>
  <si>
    <t xml:space="preserve">めちゃくちゃ美味しい（超级好吃）、部屋がめちゃくちゃ（房间乱七八糟）、言ってることがめちゃくちゃ（说的话不讲道理）、めちゃくちゃに壊れる（彻底坏掉）、話がめちゃくちゃ（说话毫无逻辑）
</t>
    <phoneticPr fontId="1" type="noConversion"/>
  </si>
  <si>
    <t>綿密</t>
  </si>
  <si>
    <t>めんみつ</t>
  </si>
  <si>
    <t>周密,缜密</t>
  </si>
  <si>
    <t>綿密な計画を立てる。制定缜密的计划。</t>
  </si>
  <si>
    <t>綿密に調査する。进行细致入微的调查</t>
  </si>
  <si>
    <t>綿密な準備（周密的准备）</t>
  </si>
  <si>
    <t>喧しい</t>
    <phoneticPr fontId="1" type="noConversion"/>
  </si>
  <si>
    <t>やかましい</t>
    <phoneticPr fontId="1" type="noConversion"/>
  </si>
  <si>
    <r>
      <t>吵闹的、喧哗的（声音大、令人烦躁）；</t>
    </r>
    <r>
      <rPr>
        <sz val="11"/>
        <color rgb="FFFF0000"/>
        <rFont val="等线"/>
        <family val="4"/>
        <charset val="134"/>
        <scheme val="minor"/>
      </rPr>
      <t>严格的、过分讲究的（对规则、细节等要求严格）</t>
    </r>
    <phoneticPr fontId="1" type="noConversion"/>
  </si>
  <si>
    <t>隣の部屋の子供たちが喧しくて眠れなかった。隔壁房间的孩子们吵得我睡不着。</t>
  </si>
  <si>
    <t>工事現場の音がとても喧しかった。工地的声音非常吵闹。</t>
  </si>
  <si>
    <t>彼は時間に喧しいので、遅刻は許されない。他对时间很严格，迟到是不被允许的。</t>
    <phoneticPr fontId="1" type="noConversion"/>
  </si>
  <si>
    <t>上司はマナーに喧しいので気をつけたほうがいい。上司对礼仪很挑剔，最好注意点。</t>
    <phoneticPr fontId="1" type="noConversion"/>
  </si>
  <si>
    <t>喧しい声（吵闹的声音）、喧しい子供（吵闹的孩子）、喧しい注意（严厉的警告）、喧しい親（唠叨的家长）、時間に喧しい（对时间很严格）</t>
    <phoneticPr fontId="1" type="noConversion"/>
  </si>
  <si>
    <t>安らか</t>
    <phoneticPr fontId="1" type="noConversion"/>
  </si>
  <si>
    <t>やすらか</t>
    <phoneticPr fontId="1" type="noConversion"/>
  </si>
  <si>
    <t>安乐，安闲，安然、安详；平静</t>
    <phoneticPr fontId="1" type="noConversion"/>
  </si>
  <si>
    <r>
      <t>安らかな時間を過ごす。</t>
    </r>
    <r>
      <rPr>
        <sz val="11"/>
        <color theme="1"/>
        <rFont val="DengXian"/>
        <family val="2"/>
        <charset val="134"/>
      </rPr>
      <t>度过安乐的时光</t>
    </r>
    <phoneticPr fontId="1" type="noConversion"/>
  </si>
  <si>
    <t>赤ちゃんは母親の腕の中で安らかに眠っている。婴儿在母亲怀里安详地睡着了。</t>
    <phoneticPr fontId="1" type="noConversion"/>
  </si>
  <si>
    <t>安らかな最期を迎えることができた。他得以安详地走完人生最后一程。</t>
    <phoneticPr fontId="1" type="noConversion"/>
  </si>
  <si>
    <t>その音楽を聴いていると、心が安らかになる。听着那段音乐，心就平静下来。</t>
    <phoneticPr fontId="1" type="noConversion"/>
  </si>
  <si>
    <t>彼女の表情はとても安らかだった。她的表情非常安详。</t>
    <phoneticPr fontId="1" type="noConversion"/>
  </si>
  <si>
    <t>安らかな顔（安详的表情）、安らかな眠り（安宁的睡眠）、安らかな最期（安详的临终）、心が安らかになる（内心平静）、安らかに眠る（安详地入睡／长眠）</t>
    <phoneticPr fontId="1" type="noConversion"/>
  </si>
  <si>
    <t>安らかな気持ちで一日を終えたい。我想以平静的心情结束这一天。</t>
    <phoneticPr fontId="1" type="noConversion"/>
  </si>
  <si>
    <r>
      <rPr>
        <sz val="11"/>
        <color theme="1"/>
        <rFont val="游ゴシック"/>
        <family val="2"/>
        <charset val="128"/>
      </rPr>
      <t>心安らかに眠る。</t>
    </r>
    <r>
      <rPr>
        <sz val="11"/>
        <color theme="1"/>
        <rFont val="等线"/>
        <family val="2"/>
        <charset val="134"/>
      </rPr>
      <t>安热入睡</t>
    </r>
    <phoneticPr fontId="1" type="noConversion"/>
  </si>
  <si>
    <t>厄介</t>
    <phoneticPr fontId="1" type="noConversion"/>
  </si>
  <si>
    <t>やっかい</t>
    <phoneticPr fontId="1" type="noConversion"/>
  </si>
  <si>
    <t>やっかい</t>
  </si>
  <si>
    <t>麻烦、棘手（处理起来费事）</t>
    <phoneticPr fontId="1" type="noConversion"/>
  </si>
  <si>
    <t>これはかなり厄介な問題ですね。这真是个相当棘手的问题啊。</t>
    <phoneticPr fontId="1" type="noConversion"/>
  </si>
  <si>
    <t>彼に関わると厄介なことになるよ。和他扯上关系会很麻烦的。</t>
    <phoneticPr fontId="1" type="noConversion"/>
  </si>
  <si>
    <t>面倒な仕事を押し付けられて、厄介だ。被塞了一堆麻烦的工作，真头疼。</t>
    <phoneticPr fontId="1" type="noConversion"/>
  </si>
  <si>
    <t>彼の存在そのものが厄介だ。他本身就是个麻烦人物。</t>
    <phoneticPr fontId="1" type="noConversion"/>
  </si>
  <si>
    <t>厄介な問題（棘手的问题）、厄介な相手（难对付的对手）、厄介をかける（给人添麻烦）、厄介な存在（让人头疼的存在）</t>
    <phoneticPr fontId="1" type="noConversion"/>
  </si>
  <si>
    <t>有意義</t>
    <phoneticPr fontId="1" type="noConversion"/>
  </si>
  <si>
    <t>ゆういぎ</t>
    <phoneticPr fontId="1" type="noConversion"/>
  </si>
  <si>
    <t>優先的</t>
    <phoneticPr fontId="1" type="noConversion"/>
  </si>
  <si>
    <t>ゆうせんてき</t>
    <phoneticPr fontId="1" type="noConversion"/>
  </si>
  <si>
    <t>有能</t>
  </si>
  <si>
    <t>ゆうのう</t>
  </si>
  <si>
    <t>有才能</t>
  </si>
  <si>
    <t>無能</t>
    <phoneticPr fontId="1" type="noConversion"/>
  </si>
  <si>
    <t>有利</t>
  </si>
  <si>
    <t>ゆうり</t>
  </si>
  <si>
    <t>優良</t>
  </si>
  <si>
    <t>ゆうりょう</t>
  </si>
  <si>
    <t>优良</t>
  </si>
  <si>
    <t>独特</t>
    <phoneticPr fontId="1" type="noConversion"/>
  </si>
  <si>
    <t>どくとく</t>
  </si>
  <si>
    <t>容易</t>
    <phoneticPr fontId="1" type="noConversion"/>
  </si>
  <si>
    <t>ようい</t>
    <phoneticPr fontId="1" type="noConversion"/>
  </si>
  <si>
    <t>陽気</t>
    <phoneticPr fontId="1" type="noConversion"/>
  </si>
  <si>
    <t>ようき</t>
  </si>
  <si>
    <t>开朗，活泼；天气好、晴朗、暖和</t>
  </si>
  <si>
    <t>陽気な音楽を聞くと、気分が明るくなる。听欢快的音乐会让心情变好。</t>
    <phoneticPr fontId="1" type="noConversion"/>
  </si>
  <si>
    <t>彼はとても陽気な性格で、誰とでもすぐ仲良くなれる。他性格非常开朗，和谁都能很快打成一片。</t>
  </si>
  <si>
    <t>今日は春らしい陽気ですね。今天真是有春天气息的好天气呢。</t>
    <phoneticPr fontId="1" type="noConversion"/>
  </si>
  <si>
    <t>彼女は陽気に話しかけてきた。她开朗地和我搭话。</t>
    <phoneticPr fontId="1" type="noConversion"/>
  </si>
  <si>
    <t>陽気な人（开朗的人）、陽気な性格（开朗的性格）、陽気な音楽（欢快的音乐）、春の陽気（春天的好天气）、陽気に笑う（笑得很开朗）</t>
    <phoneticPr fontId="1" type="noConversion"/>
  </si>
  <si>
    <t>用心深い</t>
    <phoneticPr fontId="1" type="noConversion"/>
  </si>
  <si>
    <t>ようじんぶかい</t>
    <phoneticPr fontId="1" type="noConversion"/>
  </si>
  <si>
    <t>谨慎的，慎重的，小心翼翼的</t>
    <phoneticPr fontId="1" type="noConversion"/>
  </si>
  <si>
    <t>彼はとても用心深い性格で、慎重に行動する。他性格非常谨慎，做事很小心。</t>
    <phoneticPr fontId="1" type="noConversion"/>
  </si>
  <si>
    <t>用心深い人ほど失敗が少ない。越是小心谨慎的人，失败越少。</t>
    <phoneticPr fontId="1" type="noConversion"/>
  </si>
  <si>
    <t>彼女は用心深く、すぐには人を信用しない。她很警惕，不会轻易相信别人。</t>
    <phoneticPr fontId="1" type="noConversion"/>
  </si>
  <si>
    <t>この問題については、もっと用心深く対応すべきだ。这个问题应更加谨慎地处理。</t>
    <phoneticPr fontId="1" type="noConversion"/>
  </si>
  <si>
    <t>用心深い人（谨慎的人）、用心深い態度（小心谨慎的态度）、用心深い性格（谨慎的性格）、用心深く調べる（仔细调查）、用心深く行動する（谨慎行事）</t>
    <phoneticPr fontId="1" type="noConversion"/>
  </si>
  <si>
    <t>彼は用心深く部屋の中を見回した。他小心翼翼地环顾了房间一圈。</t>
    <phoneticPr fontId="1" type="noConversion"/>
  </si>
  <si>
    <t>幼稚</t>
    <phoneticPr fontId="1" type="noConversion"/>
  </si>
  <si>
    <t>ようち</t>
    <phoneticPr fontId="1" type="noConversion"/>
  </si>
  <si>
    <t>技術はまだ幼稚だ。技术还不娴熟</t>
    <phoneticPr fontId="1" type="noConversion"/>
  </si>
  <si>
    <t>彼の意見は現実を無視した幼稚なものだった。他的意见脱离现实，非常幼稚。</t>
    <phoneticPr fontId="1" type="noConversion"/>
  </si>
  <si>
    <t>大人なのに、行動が幼稚すぎる。都已经是大人了，行为还这么孩子气。</t>
    <phoneticPr fontId="1" type="noConversion"/>
  </si>
  <si>
    <t>幼稚な質問かもしれませんが、教えてください。可能是个幼稚的问题，但请告诉我。</t>
    <phoneticPr fontId="1" type="noConversion"/>
  </si>
  <si>
    <t>幼稚な考え（幼稚的想法）、幼稚な発言（幼稚的发言）、幼稚な態度（孩子气的态度）、幼稚な冗談（无聊的玩笑）、幼稚に見える（显得幼稚）</t>
    <phoneticPr fontId="1" type="noConversion"/>
  </si>
  <si>
    <t>幼い</t>
    <phoneticPr fontId="1" type="noConversion"/>
  </si>
  <si>
    <t>おさない</t>
  </si>
  <si>
    <t>幼小的</t>
  </si>
  <si>
    <t>余計</t>
  </si>
  <si>
    <t>よけい</t>
  </si>
  <si>
    <t>多余</t>
  </si>
  <si>
    <t>余分</t>
  </si>
  <si>
    <t>よぶん</t>
  </si>
  <si>
    <t>剩余、多余</t>
  </si>
  <si>
    <t>强调的是超出必要范围的不需要的东西，更偏重“数量上”的多余；而余計是形容不需要的、碍事的、多余的</t>
    <phoneticPr fontId="1" type="noConversion"/>
  </si>
  <si>
    <t>余分なカロリーを消費する。消耗多余的热量。</t>
  </si>
  <si>
    <t>余分な荷物は置いていこう。把多余的行李放下吧。</t>
  </si>
  <si>
    <t>余分にお金を払う。多付钱。</t>
  </si>
  <si>
    <t>余分な時間ができた。有了额外的时间。</t>
  </si>
  <si>
    <t>弱々しい</t>
    <phoneticPr fontId="1" type="noConversion"/>
  </si>
  <si>
    <t>よわよわしい</t>
    <phoneticPr fontId="1" type="noConversion"/>
  </si>
  <si>
    <t>虚弱，微弱，软弱</t>
    <phoneticPr fontId="1" type="noConversion"/>
  </si>
  <si>
    <t>彼は病気のせいで弱々しく見えた。他因为生病，看起来很虚弱。</t>
    <phoneticPr fontId="1" type="noConversion"/>
  </si>
  <si>
    <t>弱々しい声で助けを求めてきた。他用微弱的声音请求帮助。</t>
    <phoneticPr fontId="1" type="noConversion"/>
  </si>
  <si>
    <t>その花は風に揺れて、弱々しい印象を与える。那朵花在风中摇曳，显得很脆弱。</t>
    <phoneticPr fontId="1" type="noConversion"/>
  </si>
  <si>
    <t>彼の態度はあまりに弱々しくて頼りにならない。他的态度太软弱，靠不住。</t>
    <phoneticPr fontId="1" type="noConversion"/>
  </si>
  <si>
    <t>弱々しい声（虚弱的声音）、弱々しい体（虚弱的身体）、弱々しい笑顔（勉强的笑容）、弱々しい態度（软弱的态度）、弱々しく見える（看起来很脆弱）</t>
    <phoneticPr fontId="1" type="noConversion"/>
  </si>
  <si>
    <t>乱暴</t>
    <phoneticPr fontId="1" type="noConversion"/>
  </si>
  <si>
    <t>らんぼう</t>
    <phoneticPr fontId="1" type="noConversion"/>
  </si>
  <si>
    <t>粗暴，粗鲁的；草率</t>
    <phoneticPr fontId="1" type="noConversion"/>
  </si>
  <si>
    <t>彼は女性に対して乱暴な言葉を使った。他对女性说了很粗鲁的话。</t>
    <phoneticPr fontId="1" type="noConversion"/>
  </si>
  <si>
    <t>そんな乱暴な運転をしたら危ないよ。那样鲁莽地开车很危险。</t>
    <phoneticPr fontId="1" type="noConversion"/>
  </si>
  <si>
    <t>子どもを乱暴に扱ってはいけない。不能粗暴对待孩子。</t>
    <phoneticPr fontId="1" type="noConversion"/>
  </si>
  <si>
    <t>問題を乱暴に片づけると、後で困るよ。事情草率处理，之后会出问题。</t>
    <phoneticPr fontId="1" type="noConversion"/>
  </si>
  <si>
    <t>乱暴な言葉（粗鲁的话）、乱暴な運転（鲁莽驾驶）、乱暴な人（粗暴的人）、乱暴に扱う（粗暴对待）、議論が乱暴だ（讨论过于武断）</t>
    <phoneticPr fontId="1" type="noConversion"/>
  </si>
  <si>
    <t>良質</t>
    <phoneticPr fontId="1" type="noConversion"/>
  </si>
  <si>
    <t>りょうしつ</t>
    <phoneticPr fontId="1" type="noConversion"/>
  </si>
  <si>
    <t>优质</t>
    <phoneticPr fontId="1" type="noConversion"/>
  </si>
  <si>
    <t>この店は良質な商品を取り扱っている。这家店经营的是优质商品。</t>
    <phoneticPr fontId="1" type="noConversion"/>
  </si>
  <si>
    <t>健康のためには、良質な睡眠が欠かせない。为了健康，优质睡眠是必不可少的。</t>
  </si>
  <si>
    <t>この食品には良質なタンパク質が含まれている。这种食品含有优质蛋白质。</t>
  </si>
  <si>
    <t>良質な教育は将来の可能性を広げてくれる。优质的教育能拓展未来的可能性。</t>
  </si>
  <si>
    <t>良質な素材を使っているので、服の着心地がいい。因为用了优质材料，这件衣服穿起来很舒服。</t>
  </si>
  <si>
    <t>良質な素材（优质材料）、良質な睡眠（高质量睡眠）、良質なタンパク質（优质蛋白质）、良質な教育（优质教育）、良質な作品（优质作品）</t>
    <phoneticPr fontId="1" type="noConversion"/>
  </si>
  <si>
    <t>悪質</t>
    <phoneticPr fontId="1" type="noConversion"/>
  </si>
  <si>
    <t>あくしつ</t>
    <phoneticPr fontId="1" type="noConversion"/>
  </si>
  <si>
    <t>劣质</t>
    <phoneticPr fontId="1" type="noConversion"/>
  </si>
  <si>
    <t>冷静</t>
    <phoneticPr fontId="1" type="noConversion"/>
  </si>
  <si>
    <t>れいせい</t>
    <phoneticPr fontId="1" type="noConversion"/>
  </si>
  <si>
    <t>若々しい</t>
    <phoneticPr fontId="1" type="noConversion"/>
  </si>
  <si>
    <t>わかわかしい</t>
    <phoneticPr fontId="1" type="noConversion"/>
  </si>
  <si>
    <t>有朝气的、充满活力的、显年轻的</t>
    <phoneticPr fontId="1" type="noConversion"/>
  </si>
  <si>
    <t>彼女は年齢のわりにとても若々しい。她虽然年纪不小了，但看起来非常年轻。</t>
    <phoneticPr fontId="1" type="noConversion"/>
  </si>
  <si>
    <t>あの俳優はいつも若々しい雰囲気を持っている。那个演员总是带着一股青春气息。</t>
    <phoneticPr fontId="1" type="noConversion"/>
  </si>
  <si>
    <t>彼の話し方は若々しくて元気がある。他的说话方式很有朝气也很有活力。</t>
    <phoneticPr fontId="1" type="noConversion"/>
  </si>
  <si>
    <t>そのドレスは彼女をより若々しく見せている。那件裙子让她看起来更加年轻。</t>
    <phoneticPr fontId="1" type="noConversion"/>
  </si>
  <si>
    <t>若々しい笑顔（笑容充满朝气）、若々しい声（年轻有力的声音）、若々しい肌（有光泽的肌肤）、若々しい服装（充满活力的穿着）、若々しい印象（显得年轻的印象）</t>
    <phoneticPr fontId="1" type="noConversion"/>
  </si>
  <si>
    <t>わずか</t>
    <phoneticPr fontId="1" type="noConversion"/>
  </si>
  <si>
    <t>仅仅、少量、微小（表示数量、时间、程度等非常少或极少）。</t>
    <phoneticPr fontId="1" type="noConversion"/>
  </si>
  <si>
    <t>彼はわずかな時間でその仕事を終えた。他仅用很短的时间就完成了那项工作。</t>
    <phoneticPr fontId="1" type="noConversion"/>
  </si>
  <si>
    <t>わずか5分で決めなければならなかった。必须在短短五分钟内做出决定。</t>
    <phoneticPr fontId="1" type="noConversion"/>
  </si>
  <si>
    <t>この薬を飲めば、症状はわずかに改善される。这种药能稍微改善症状。</t>
    <phoneticPr fontId="1" type="noConversion"/>
  </si>
  <si>
    <t>わずかな違いだが、印象は大きく変わる。虽然只是细微的差别，但给人的印象变化很大。</t>
    <phoneticPr fontId="1" type="noConversion"/>
  </si>
  <si>
    <t xml:space="preserve">わずかな時間（极短的时间）、わずかな差（细微的差别）、わずかな金額（很少的钱）、わずかに残る（仅剩一点）、わずかでも役に立つ（哪怕只有一点也有帮助）
</t>
    <phoneticPr fontId="1" type="noConversion"/>
  </si>
  <si>
    <t>わずかなお金でも、困っている人には助けになる。哪怕只是很少的钱，对有困难的人也能有所帮助。</t>
    <phoneticPr fontId="1" type="noConversion"/>
  </si>
  <si>
    <t>曖昧</t>
    <phoneticPr fontId="1" type="noConversion"/>
  </si>
  <si>
    <t>あいまい</t>
    <phoneticPr fontId="1" type="noConversion"/>
  </si>
  <si>
    <t>含糊不清，模棱两可</t>
    <phoneticPr fontId="1" type="noConversion"/>
  </si>
  <si>
    <t>曖昧な返事をしてしまった。给了个模棱两可的回答。</t>
  </si>
  <si>
    <t>社長は責任について曖昧な態度を取っている。社长对责任问题态度暧昧。</t>
    <phoneticPr fontId="1" type="noConversion"/>
  </si>
  <si>
    <t>彼女と曖昧な関係を続けている。和她保持着一种暧昧的关系。</t>
  </si>
  <si>
    <r>
      <rPr>
        <sz val="11"/>
        <color rgb="FFFF0000"/>
        <rFont val="游ゴシック"/>
        <family val="3"/>
        <charset val="128"/>
      </rPr>
      <t>明</t>
    </r>
    <r>
      <rPr>
        <sz val="11"/>
        <color theme="1"/>
        <rFont val="游ゴシック"/>
        <family val="2"/>
        <charset val="128"/>
      </rPr>
      <t>らか</t>
    </r>
    <phoneticPr fontId="1" type="noConversion"/>
  </si>
  <si>
    <t>あきらか</t>
    <phoneticPr fontId="1" type="noConversion"/>
  </si>
  <si>
    <t>明显</t>
  </si>
  <si>
    <t>それは明らかな嘘だ。那是明显的谎言。</t>
  </si>
  <si>
    <t>原因はまだ明らかではない。原因尚不明朗。</t>
    <phoneticPr fontId="1" type="noConversion"/>
  </si>
  <si>
    <t>調査によって事実が明らかになった。通过调查事情已经水落石出了。</t>
    <phoneticPr fontId="1" type="noConversion"/>
  </si>
  <si>
    <t>明らかに彼の態度が変わった。他态度明显变了。</t>
    <phoneticPr fontId="1" type="noConversion"/>
  </si>
  <si>
    <t>明らかにする	 弄清楚、查明
明らかになる	 变得清楚、明朗化
明らかな事実 明确的事实
明らかな証拠 明显的证据
明らかに違う	 明显不同</t>
    <phoneticPr fontId="1" type="noConversion"/>
  </si>
  <si>
    <t>当たり前</t>
    <phoneticPr fontId="1" type="noConversion"/>
  </si>
  <si>
    <t>あたりまえ</t>
    <phoneticPr fontId="1" type="noConversion"/>
  </si>
  <si>
    <t>理所当然的</t>
    <phoneticPr fontId="1" type="noConversion"/>
  </si>
  <si>
    <t>怪しい</t>
    <phoneticPr fontId="1" type="noConversion"/>
  </si>
  <si>
    <t>あやしい</t>
    <phoneticPr fontId="1" type="noConversion"/>
  </si>
  <si>
    <r>
      <t>可疑的；</t>
    </r>
    <r>
      <rPr>
        <sz val="11"/>
        <color rgb="FFFF0000"/>
        <rFont val="等线"/>
        <family val="4"/>
        <charset val="134"/>
        <scheme val="minor"/>
      </rPr>
      <t>不可靠的</t>
    </r>
    <phoneticPr fontId="1" type="noConversion"/>
  </si>
  <si>
    <t>あの人の言っていることは怪しい。那个人说的话可疑。</t>
    <phoneticPr fontId="1" type="noConversion"/>
  </si>
  <si>
    <t>あの薬は怪しいから使わない方がいい。那种药不可靠，最好别用。</t>
    <phoneticPr fontId="1" type="noConversion"/>
  </si>
  <si>
    <t>怪しい人物	 可疑人物
怪しい話	 可疑/难以相信的话
怪しい雰囲気 暧昧的气氛
怪しい動き	 可疑行为</t>
    <phoneticPr fontId="1" type="noConversion"/>
  </si>
  <si>
    <t>荒い</t>
    <phoneticPr fontId="1" type="noConversion"/>
  </si>
  <si>
    <t>あらい</t>
    <phoneticPr fontId="1" type="noConversion"/>
  </si>
  <si>
    <t>粗暴、粗糙、剧烈、不平稳</t>
    <phoneticPr fontId="1" type="noConversion"/>
  </si>
  <si>
    <t>用于言行粗鲁、波动大、呼吸急促、动作猛、规律紊乱等情形</t>
    <phoneticPr fontId="1" type="noConversion"/>
  </si>
  <si>
    <t>波が荒いので、泳がないでください。海浪太大，请不要游泳。（猛烈）</t>
    <phoneticPr fontId="1" type="noConversion"/>
  </si>
  <si>
    <t>彼は運転が荒い。开车很粗鲁。（动作粗暴）</t>
    <phoneticPr fontId="1" type="noConversion"/>
  </si>
  <si>
    <t>金遣いが荒い人は貯金できない。花钱大手大脚的人攒不下钱。（用钱随便）</t>
    <phoneticPr fontId="1" type="noConversion"/>
  </si>
  <si>
    <t>呼吸が荒くなってきた。呼吸变得急促了。（剧烈）</t>
    <phoneticPr fontId="1" type="noConversion"/>
  </si>
  <si>
    <t>言葉遣いが荒い	说话粗鲁
波が荒い	    海浪汹涌
気性が荒い	    性格暴躁
金遣いが荒い	花钱大手大脚</t>
    <phoneticPr fontId="1" type="noConversion"/>
  </si>
  <si>
    <t>あの犬は気性が荒いから、近づかない方がいい。 那只狗性子暴躁，最好别靠近。</t>
    <phoneticPr fontId="1" type="noConversion"/>
  </si>
  <si>
    <t>粗い</t>
    <phoneticPr fontId="1" type="noConversion"/>
  </si>
  <si>
    <t>粗的；（做工）粗糙的；（计算）粗枝大叶</t>
    <phoneticPr fontId="1" type="noConversion"/>
  </si>
  <si>
    <t>野菜を粗く刻んでください。请把蔬菜粗略地切一切。</t>
    <phoneticPr fontId="1" type="noConversion"/>
  </si>
  <si>
    <t>粗い砂を使うと仕上がりが悪い。用粗沙做出来效果不好。</t>
    <phoneticPr fontId="1" type="noConversion"/>
  </si>
  <si>
    <r>
      <t>粗い計算</t>
    </r>
    <r>
      <rPr>
        <sz val="11"/>
        <color theme="1"/>
        <rFont val="DengXian"/>
        <family val="2"/>
        <charset val="134"/>
      </rPr>
      <t xml:space="preserve">  计算粗心</t>
    </r>
    <phoneticPr fontId="1" type="noConversion"/>
  </si>
  <si>
    <r>
      <t>作り方が粗い。</t>
    </r>
    <r>
      <rPr>
        <sz val="11"/>
        <color theme="1"/>
        <rFont val="DengXian"/>
        <family val="2"/>
        <charset val="134"/>
      </rPr>
      <t>做法粗糙</t>
    </r>
    <r>
      <rPr>
        <sz val="11"/>
        <color theme="1"/>
        <rFont val="游ゴシック"/>
        <family val="2"/>
        <charset val="128"/>
      </rPr>
      <t xml:space="preserve">
データ分析が粗すぎる。数据分析太粗略了。
</t>
    </r>
    <r>
      <rPr>
        <sz val="11"/>
        <color theme="1"/>
        <rFont val="DengXian"/>
        <family val="2"/>
        <charset val="134"/>
      </rPr>
      <t>分析が粗すぎて、説得力に欠ける。分析太粗糙，缺乏说服力。</t>
    </r>
    <r>
      <rPr>
        <sz val="11"/>
        <color theme="1"/>
        <rFont val="游ゴシック"/>
        <family val="2"/>
        <charset val="128"/>
      </rPr>
      <t xml:space="preserve">
彼女の計画は粗いところが多い。她的</t>
    </r>
    <r>
      <rPr>
        <sz val="11"/>
        <color theme="1"/>
        <rFont val="Microsoft YaHei"/>
        <family val="2"/>
        <charset val="134"/>
      </rPr>
      <t>计</t>
    </r>
    <r>
      <rPr>
        <sz val="11"/>
        <color theme="1"/>
        <rFont val="游ゴシック"/>
        <family val="2"/>
        <charset val="128"/>
      </rPr>
      <t>划有很多不</t>
    </r>
    <r>
      <rPr>
        <sz val="11"/>
        <color theme="1"/>
        <rFont val="Microsoft YaHei"/>
        <family val="2"/>
        <charset val="134"/>
      </rPr>
      <t>细</t>
    </r>
    <r>
      <rPr>
        <sz val="11"/>
        <color theme="1"/>
        <rFont val="游ゴシック"/>
        <family val="2"/>
        <charset val="128"/>
      </rPr>
      <t>致的地方。</t>
    </r>
    <phoneticPr fontId="1" type="noConversion"/>
  </si>
  <si>
    <t>細かい</t>
    <phoneticPr fontId="1" type="noConversion"/>
  </si>
  <si>
    <t>こまかい</t>
    <phoneticPr fontId="1" type="noConversion"/>
  </si>
  <si>
    <t>细的；仔细的，细腻</t>
    <phoneticPr fontId="1" type="noConversion"/>
  </si>
  <si>
    <t>細かい字は読みにくい。小字难读。</t>
    <phoneticPr fontId="1" type="noConversion"/>
  </si>
  <si>
    <t>細かい砂。细沙。</t>
    <phoneticPr fontId="1" type="noConversion"/>
  </si>
  <si>
    <t>お金に細かい人です。他对钱很精打细算。</t>
    <phoneticPr fontId="1" type="noConversion"/>
  </si>
  <si>
    <t>彼は気が細かい。他心思细腻。</t>
    <phoneticPr fontId="1" type="noConversion"/>
  </si>
  <si>
    <t>新た</t>
    <phoneticPr fontId="1" type="noConversion"/>
  </si>
  <si>
    <t>あらた</t>
    <phoneticPr fontId="1" type="noConversion"/>
  </si>
  <si>
    <t>新；重新</t>
    <phoneticPr fontId="1" type="noConversion"/>
  </si>
  <si>
    <r>
      <t xml:space="preserve">更书面语言  </t>
    </r>
    <r>
      <rPr>
        <sz val="11"/>
        <color theme="1"/>
        <rFont val="游ゴシック"/>
        <family val="2"/>
        <charset val="128"/>
      </rPr>
      <t>新しい</t>
    </r>
    <r>
      <rPr>
        <sz val="11"/>
        <color theme="1"/>
        <rFont val="等线"/>
        <family val="2"/>
        <charset val="134"/>
      </rPr>
      <t>，偏口语</t>
    </r>
    <phoneticPr fontId="1" type="noConversion"/>
  </si>
  <si>
    <t>新たな問題が発生した。发生了新的问题。</t>
  </si>
  <si>
    <t>計画を新たに立て直す。重新制定计划。</t>
    <phoneticPr fontId="1" type="noConversion"/>
  </si>
  <si>
    <t>新たな証拠が見つかった。发现了新的证据。</t>
    <phoneticPr fontId="1" type="noConversion"/>
  </si>
  <si>
    <t>彼の話を聞いて、新たな決意が生まれた。听了他的话，我产生了新的决心。</t>
    <phoneticPr fontId="1" type="noConversion"/>
  </si>
  <si>
    <t>有難い</t>
    <phoneticPr fontId="1" type="noConversion"/>
  </si>
  <si>
    <t>ありがたい</t>
    <phoneticPr fontId="1" type="noConversion"/>
  </si>
  <si>
    <t>感激的、值得感恩的</t>
  </si>
  <si>
    <t>手伝ってくれて本当に有難い。你来帮忙，我真的很感激。</t>
    <phoneticPr fontId="1" type="noConversion"/>
  </si>
  <si>
    <t>そんな有難いお言葉、身に余る思いです。那样感激的话语，实在让我受宠若惊。</t>
    <phoneticPr fontId="1" type="noConversion"/>
  </si>
  <si>
    <t>両親が元気でいてくれるのは有難いことだ。父母身体健康是非常值得感恩的事。</t>
    <phoneticPr fontId="1" type="noConversion"/>
  </si>
  <si>
    <t xml:space="preserve">台風がそれてくれて有難かった。台风偏离了我们，真是万幸。
</t>
    <phoneticPr fontId="1" type="noConversion"/>
  </si>
  <si>
    <t>ご助言をいただいて有難いです	得到建议非常感激
有難いお言葉	值得感激的话
忙しい中来てくれて有難い	在百忙之中来，令人感激
有難い存在	珍贵的存在
健康でいられるのは有難いことだ	能健康地生活是一件值得感恩的事</t>
    <phoneticPr fontId="1" type="noConversion"/>
  </si>
  <si>
    <t>毎日温かいご飯が食べられるのは有難い。每天能吃到热饭是一件值得感恩的事。</t>
    <phoneticPr fontId="1" type="noConversion"/>
  </si>
  <si>
    <t>慌ただしい</t>
    <phoneticPr fontId="1" type="noConversion"/>
  </si>
  <si>
    <t>あわただし</t>
    <phoneticPr fontId="1" type="noConversion"/>
  </si>
  <si>
    <t>匆忙的、忙乱的</t>
  </si>
  <si>
    <t>朝は慌ただしくて、ゆっくり朝ごはんを食べる時間がない。早上很匆忙，没时间慢慢吃早餐。</t>
    <phoneticPr fontId="1" type="noConversion"/>
  </si>
  <si>
    <t>慌ただしい一日がようやく終わった。忙乱的一天终于结束了。</t>
    <phoneticPr fontId="1" type="noConversion"/>
  </si>
  <si>
    <t>その知らせを聞いて、慌ただしく準備を始めた。听到那个消息后，匆忙开始准备。</t>
    <phoneticPr fontId="1" type="noConversion"/>
  </si>
  <si>
    <t>案外</t>
    <phoneticPr fontId="1" type="noConversion"/>
  </si>
  <si>
    <t>あんがい</t>
  </si>
  <si>
    <t>出乎意料的，意外的</t>
    <phoneticPr fontId="1" type="noConversion"/>
  </si>
  <si>
    <t xml:space="preserve">難しいと思ったが、案外簡単だった。我以为很难，结果意外地简单。
</t>
    <phoneticPr fontId="1" type="noConversion"/>
  </si>
  <si>
    <t>あの人は見かけによらず、案外親切だ。那个人看起来不太亲切，实际上却意外地很热情。</t>
    <phoneticPr fontId="1" type="noConversion"/>
  </si>
  <si>
    <t>初めての登山だったが、案外楽しかった。第一次登山，没想到挺开心的。</t>
    <phoneticPr fontId="1" type="noConversion"/>
  </si>
  <si>
    <t>案外近い：比想象的近
案外簡単：比预想的简单
案外面白い：意外地有趣
案外知られていない：意外地不为人知
案外うまくいく：结果出乎意料地顺利
案外苦労する：出乎意料地吃力
案外気に入る：没想到会喜欢上</t>
    <phoneticPr fontId="1" type="noConversion"/>
  </si>
  <si>
    <t>安全</t>
    <phoneticPr fontId="1" type="noConversion"/>
  </si>
  <si>
    <t>あんぜん</t>
  </si>
  <si>
    <t>安全的</t>
  </si>
  <si>
    <t>危険</t>
    <phoneticPr fontId="1" type="noConversion"/>
  </si>
  <si>
    <t>きけん</t>
  </si>
  <si>
    <t>危险的</t>
  </si>
  <si>
    <t>意外</t>
    <phoneticPr fontId="1" type="noConversion"/>
  </si>
  <si>
    <t>いがい</t>
  </si>
  <si>
    <t>意外的</t>
  </si>
  <si>
    <t>異常</t>
    <phoneticPr fontId="1" type="noConversion"/>
  </si>
  <si>
    <t>いじょう</t>
  </si>
  <si>
    <t>异常的</t>
  </si>
  <si>
    <t>痛い</t>
    <phoneticPr fontId="1" type="noConversion"/>
  </si>
  <si>
    <t>いたい</t>
  </si>
  <si>
    <t>疼痛的</t>
  </si>
  <si>
    <t>偉大</t>
    <phoneticPr fontId="1" type="noConversion"/>
  </si>
  <si>
    <t>いだい</t>
  </si>
  <si>
    <t>伟大的</t>
  </si>
  <si>
    <t>悪戯</t>
    <phoneticPr fontId="1" type="noConversion"/>
  </si>
  <si>
    <t>いたずら</t>
  </si>
  <si>
    <t>恶作剧的</t>
  </si>
  <si>
    <r>
      <t>一</t>
    </r>
    <r>
      <rPr>
        <sz val="11"/>
        <color rgb="FFFF0000"/>
        <rFont val="游ゴシック"/>
        <family val="3"/>
        <charset val="128"/>
      </rPr>
      <t>般</t>
    </r>
    <phoneticPr fontId="1" type="noConversion"/>
  </si>
  <si>
    <r>
      <t>いっ</t>
    </r>
    <r>
      <rPr>
        <sz val="11"/>
        <color rgb="FFFF0000"/>
        <rFont val="等线"/>
        <family val="4"/>
        <charset val="134"/>
        <scheme val="minor"/>
      </rPr>
      <t>ぱん</t>
    </r>
    <phoneticPr fontId="1" type="noConversion"/>
  </si>
  <si>
    <t>一般的</t>
  </si>
  <si>
    <t>薄い</t>
    <phoneticPr fontId="1" type="noConversion"/>
  </si>
  <si>
    <t>うすい</t>
  </si>
  <si>
    <t>薄的</t>
  </si>
  <si>
    <t>濃い</t>
    <phoneticPr fontId="1" type="noConversion"/>
  </si>
  <si>
    <t>こい</t>
  </si>
  <si>
    <t>浓的</t>
  </si>
  <si>
    <t>偉い</t>
    <phoneticPr fontId="1" type="noConversion"/>
  </si>
  <si>
    <t>えらい</t>
  </si>
  <si>
    <t>大型</t>
    <phoneticPr fontId="1" type="noConversion"/>
  </si>
  <si>
    <t>おおがた</t>
  </si>
  <si>
    <t>大型的</t>
  </si>
  <si>
    <t>小型</t>
    <phoneticPr fontId="1" type="noConversion"/>
  </si>
  <si>
    <r>
      <rPr>
        <sz val="11"/>
        <color rgb="FFFF0000"/>
        <rFont val="游ゴシック"/>
        <family val="3"/>
        <charset val="128"/>
      </rPr>
      <t>幼</t>
    </r>
    <r>
      <rPr>
        <sz val="11"/>
        <color theme="1"/>
        <rFont val="游ゴシック"/>
        <family val="2"/>
        <charset val="128"/>
      </rPr>
      <t>い</t>
    </r>
    <phoneticPr fontId="1" type="noConversion"/>
  </si>
  <si>
    <t>惜しい</t>
    <phoneticPr fontId="1" type="noConversion"/>
  </si>
  <si>
    <t>おしい</t>
  </si>
  <si>
    <t>可惜的</t>
  </si>
  <si>
    <t>残念</t>
    <phoneticPr fontId="1" type="noConversion"/>
  </si>
  <si>
    <t>ざんねん</t>
  </si>
  <si>
    <t>遗憾的</t>
  </si>
  <si>
    <t>おしゃべり</t>
    <phoneticPr fontId="1" type="noConversion"/>
  </si>
  <si>
    <t>おしゃべり</t>
  </si>
  <si>
    <t>健谈的</t>
  </si>
  <si>
    <t>友達とカフェで何時間もおしゃべりした。和朋友在咖啡馆聊了好几个小时。</t>
    <phoneticPr fontId="1" type="noConversion"/>
  </si>
  <si>
    <t>彼女はとてもおしゃべりな人で、初対面でもすぐに打ち解けられる。她是个非常健谈的人，即使初次见面也能立刻熟络起来。</t>
    <phoneticPr fontId="1" type="noConversion"/>
  </si>
  <si>
    <t>昨日は友達とカフェでおしゃべりした。昨天在咖啡店和朋友聊了会儿天。</t>
    <phoneticPr fontId="1" type="noConversion"/>
  </si>
  <si>
    <t>授業中におしゃべりしてはいけません。上课时不准聊天。</t>
    <phoneticPr fontId="1" type="noConversion"/>
  </si>
  <si>
    <t>おしゃべりをする	聊天
おしゃべりが止まらない	聊个不停
おしゃべりな性格	爱说话的性格
おしゃべりな子供	话多的小孩
おしゃべりばかりしている	光顾着聊天</t>
    <phoneticPr fontId="1" type="noConversion"/>
  </si>
  <si>
    <t>お洒落</t>
    <phoneticPr fontId="1" type="noConversion"/>
  </si>
  <si>
    <t>おしゃれ</t>
  </si>
  <si>
    <t>好装饰的，好打扮的，时髦的，时尚的</t>
    <phoneticPr fontId="1" type="noConversion"/>
  </si>
  <si>
    <t>指一个人穿着讲究、有品味、爱打扮，也可以指穿着本身很时髦</t>
    <phoneticPr fontId="1" type="noConversion"/>
  </si>
  <si>
    <t>彼女はいつもおしゃれな服を着ている。 她总是穿得很时髦。</t>
    <phoneticPr fontId="1" type="noConversion"/>
  </si>
  <si>
    <t>今日の髪型、すごくおしゃれだね。 你今天的发型真时尚啊。</t>
    <phoneticPr fontId="1" type="noConversion"/>
  </si>
  <si>
    <t>あのカフェは店内がおしゃれで人気がある。 那家咖啡厅装修很时尚，所以很受欢迎。</t>
    <phoneticPr fontId="1" type="noConversion"/>
  </si>
  <si>
    <t>彼はおしゃれに気を使うタイプじゃない。 他不是那种在意穿着的人。</t>
    <phoneticPr fontId="1" type="noConversion"/>
  </si>
  <si>
    <t>おしゃれな人	会打扮的人
おしゃれな服	时髦的衣服
おしゃれな部屋	时尚的房间
おしゃれに気を使う	注重打扮
おしゃれする	打扮、穿得时尚（动词）</t>
    <phoneticPr fontId="1" type="noConversion"/>
  </si>
  <si>
    <t>デートの前におしゃれしなきゃ。 约会前得打扮一下才行。</t>
    <phoneticPr fontId="1" type="noConversion"/>
  </si>
  <si>
    <r>
      <rPr>
        <sz val="11"/>
        <color rgb="FFFF0000"/>
        <rFont val="游ゴシック"/>
        <family val="3"/>
        <charset val="128"/>
      </rPr>
      <t>穏</t>
    </r>
    <r>
      <rPr>
        <sz val="11"/>
        <color theme="1"/>
        <rFont val="游ゴシック"/>
        <family val="2"/>
        <charset val="128"/>
      </rPr>
      <t>やか</t>
    </r>
    <phoneticPr fontId="1" type="noConversion"/>
  </si>
  <si>
    <r>
      <rPr>
        <sz val="11"/>
        <color rgb="FFFF0000"/>
        <rFont val="等线"/>
        <family val="4"/>
        <charset val="134"/>
        <scheme val="minor"/>
      </rPr>
      <t>おだ</t>
    </r>
    <r>
      <rPr>
        <sz val="11"/>
        <color theme="1"/>
        <rFont val="等线"/>
        <family val="2"/>
        <scheme val="minor"/>
      </rPr>
      <t>やか</t>
    </r>
    <phoneticPr fontId="1" type="noConversion"/>
  </si>
  <si>
    <t>今日は風もなく、穏やかな天気ですね。 今天风平浪静，天气真好。</t>
    <phoneticPr fontId="1" type="noConversion"/>
  </si>
  <si>
    <t>彼の穏やかな性格に救われた。 他温和的性格救了我。</t>
    <phoneticPr fontId="1" type="noConversion"/>
  </si>
  <si>
    <t>大人しい</t>
    <phoneticPr fontId="1" type="noConversion"/>
  </si>
  <si>
    <t>おとなしい</t>
    <phoneticPr fontId="1" type="noConversion"/>
  </si>
  <si>
    <t>老实、听话（性格温顺、守规矩）；文静、安静（不吵闹、不张扬）；稳重、沉着（举止成熟，少表现情绪）</t>
    <phoneticPr fontId="1" type="noConversion"/>
  </si>
  <si>
    <t>意会、穏やかで従順な性質や態度、または騒がずに静かな様子を表す言葉です</t>
    <phoneticPr fontId="1" type="noConversion"/>
  </si>
  <si>
    <t>彼女はとても大人しい性格です。 她性格非常文静。</t>
    <phoneticPr fontId="1" type="noConversion"/>
  </si>
  <si>
    <t>この犬は大人しくて噛まないよ。 这只狗很温顺，不会咬人。</t>
    <phoneticPr fontId="1" type="noConversion"/>
  </si>
  <si>
    <t>子どもが今日は珍しく大人しい。 孩子今天难得地很乖。</t>
    <phoneticPr fontId="1" type="noConversion"/>
  </si>
  <si>
    <t>面接では大人しい服を着た方がいい。 面试时最好穿低调一点的衣服。</t>
    <phoneticPr fontId="1" type="noConversion"/>
  </si>
  <si>
    <t>大人しい性格	性格文静
大人しい子ども	听话的小孩
大人しい服	朴素、低调的服装
大人しくする	表现得乖、安静</t>
    <phoneticPr fontId="1" type="noConversion"/>
  </si>
  <si>
    <t>驚かす</t>
    <phoneticPr fontId="1" type="noConversion"/>
  </si>
  <si>
    <t>おどろかす</t>
    <phoneticPr fontId="1" type="noConversion"/>
  </si>
  <si>
    <t>使吃惊、吓到</t>
  </si>
  <si>
    <t>賢い</t>
    <phoneticPr fontId="1" type="noConversion"/>
  </si>
  <si>
    <t>かしこい</t>
  </si>
  <si>
    <t>聪明的</t>
  </si>
  <si>
    <t>かっこいい</t>
    <phoneticPr fontId="1" type="noConversion"/>
  </si>
  <si>
    <t>かっこいい</t>
  </si>
  <si>
    <t>漂亮的、帅气的</t>
  </si>
  <si>
    <t>醜い</t>
  </si>
  <si>
    <t>かっこ悪い</t>
    <phoneticPr fontId="1" type="noConversion"/>
  </si>
  <si>
    <t>かっこわるい</t>
  </si>
  <si>
    <t>难看的</t>
    <phoneticPr fontId="1" type="noConversion"/>
  </si>
  <si>
    <t>勝手</t>
    <phoneticPr fontId="1" type="noConversion"/>
  </si>
  <si>
    <t>かって</t>
  </si>
  <si>
    <t>自作主张的、随便的</t>
  </si>
  <si>
    <t>可能</t>
    <phoneticPr fontId="1" type="noConversion"/>
  </si>
  <si>
    <t>かのう</t>
  </si>
  <si>
    <t>可能的</t>
  </si>
  <si>
    <t>我慢強い</t>
    <phoneticPr fontId="1" type="noConversion"/>
  </si>
  <si>
    <t>がまんづよい</t>
    <phoneticPr fontId="1" type="noConversion"/>
  </si>
  <si>
    <t>耐心的</t>
    <phoneticPr fontId="1" type="noConversion"/>
  </si>
  <si>
    <r>
      <rPr>
        <sz val="11"/>
        <color rgb="FFFF0000"/>
        <rFont val="游ゴシック"/>
        <family val="3"/>
        <charset val="128"/>
      </rPr>
      <t>痒</t>
    </r>
    <r>
      <rPr>
        <sz val="11"/>
        <color theme="1"/>
        <rFont val="游ゴシック"/>
        <family val="2"/>
        <charset val="128"/>
      </rPr>
      <t>い</t>
    </r>
    <phoneticPr fontId="1" type="noConversion"/>
  </si>
  <si>
    <t>かゆい</t>
  </si>
  <si>
    <r>
      <rPr>
        <sz val="11"/>
        <color rgb="FFFF0000"/>
        <rFont val="游ゴシック"/>
        <family val="3"/>
        <charset val="128"/>
      </rPr>
      <t>かゆ</t>
    </r>
    <r>
      <rPr>
        <sz val="11"/>
        <color theme="1"/>
        <rFont val="游ゴシック"/>
        <family val="2"/>
        <charset val="128"/>
      </rPr>
      <t>い</t>
    </r>
    <phoneticPr fontId="1" type="noConversion"/>
  </si>
  <si>
    <t>痒</t>
    <phoneticPr fontId="1" type="noConversion"/>
  </si>
  <si>
    <r>
      <rPr>
        <sz val="11"/>
        <color rgb="FFFF0000"/>
        <rFont val="游ゴシック"/>
        <family val="3"/>
        <charset val="128"/>
      </rPr>
      <t>空</t>
    </r>
    <r>
      <rPr>
        <sz val="11"/>
        <color theme="1"/>
        <rFont val="游ゴシック"/>
        <family val="2"/>
        <charset val="128"/>
      </rPr>
      <t>っぽ</t>
    </r>
    <phoneticPr fontId="1" type="noConversion"/>
  </si>
  <si>
    <r>
      <rPr>
        <sz val="11"/>
        <color rgb="FFFF0000"/>
        <rFont val="游ゴシック"/>
        <family val="3"/>
        <charset val="128"/>
      </rPr>
      <t>から</t>
    </r>
    <r>
      <rPr>
        <sz val="11"/>
        <color theme="1"/>
        <rFont val="游ゴシック"/>
        <family val="2"/>
        <charset val="128"/>
      </rPr>
      <t>っぽ</t>
    </r>
    <phoneticPr fontId="1" type="noConversion"/>
  </si>
  <si>
    <t>空的；空虚的；n空箱子</t>
    <phoneticPr fontId="1" type="noConversion"/>
  </si>
  <si>
    <t>財布の中は空っぽだった。 钱包里什么都没有。</t>
    <phoneticPr fontId="1" type="noConversion"/>
  </si>
  <si>
    <t>瓶が２つとも空っぽ？两个瓶子都空吗？</t>
    <phoneticPr fontId="1" type="noConversion"/>
  </si>
  <si>
    <t>冷蔵庫が空っぽで、夕食も作れない。 冰箱里什么都没有，连晚饭都做不了。</t>
    <phoneticPr fontId="1" type="noConversion"/>
  </si>
  <si>
    <t>何も考えてない、頭が空っぽだ。 什么都没想，脑袋空空的。</t>
    <phoneticPr fontId="1" type="noConversion"/>
  </si>
  <si>
    <t>空っぽの財布	空空如也的钱包
空っぽの冷蔵庫	什么都没有的冰箱
空っぽの頭	空脑袋、没想法
心が空っぽになる	心变得空虚
空っぽの部屋	空荡荡的房间</t>
    <phoneticPr fontId="1" type="noConversion"/>
  </si>
  <si>
    <t>あの部屋は誰もいなくて、完全に空っぽだった。 那个房间没人，完全是空的。</t>
    <phoneticPr fontId="1" type="noConversion"/>
  </si>
  <si>
    <t>失恋して、心が空っぽになった気がする。 失恋后，感觉内心一片空虚。</t>
    <phoneticPr fontId="1" type="noConversion"/>
  </si>
  <si>
    <t>可愛らしい</t>
    <phoneticPr fontId="1" type="noConversion"/>
  </si>
  <si>
    <t>かわいらしい</t>
  </si>
  <si>
    <t>可爱的、迷人的</t>
  </si>
  <si>
    <t>間接</t>
    <phoneticPr fontId="1" type="noConversion"/>
  </si>
  <si>
    <t>かんせつ</t>
  </si>
  <si>
    <t>间接的</t>
  </si>
  <si>
    <t>直接</t>
    <phoneticPr fontId="1" type="noConversion"/>
  </si>
  <si>
    <t>ちょくせつ</t>
  </si>
  <si>
    <t>直接的</t>
  </si>
  <si>
    <t>完全</t>
    <phoneticPr fontId="1" type="noConversion"/>
  </si>
  <si>
    <t>かんぜん</t>
  </si>
  <si>
    <t>完全的</t>
  </si>
  <si>
    <t>完璧</t>
    <phoneticPr fontId="1" type="noConversion"/>
  </si>
  <si>
    <t>かんぺき</t>
    <phoneticPr fontId="1" type="noConversion"/>
  </si>
  <si>
    <t>完美的</t>
  </si>
  <si>
    <t>気がかり</t>
    <phoneticPr fontId="1" type="noConversion"/>
  </si>
  <si>
    <t>きがかり</t>
    <phoneticPr fontId="1" type="noConversion"/>
  </si>
  <si>
    <t>担心，挂念</t>
    <phoneticPr fontId="1" type="noConversion"/>
  </si>
  <si>
    <t>きつい</t>
    <phoneticPr fontId="1" type="noConversion"/>
  </si>
  <si>
    <t>きつい</t>
  </si>
  <si>
    <r>
      <t>强烈（味道、气味、颜色等）；严厉、苛刻＝厳しい；紧（贴）； 累人、辛苦、难以承受</t>
    </r>
    <r>
      <rPr>
        <sz val="11"/>
        <color theme="1"/>
        <rFont val="游ゴシック"/>
        <family val="2"/>
        <charset val="128"/>
      </rPr>
      <t>=辛い</t>
    </r>
    <phoneticPr fontId="1" type="noConversion"/>
  </si>
  <si>
    <t>既可形容“身体上的辛苦”，也能指“语言上不留情面”，在会话中非常高频</t>
    <phoneticPr fontId="1" type="noConversion"/>
  </si>
  <si>
    <t>この靴、ちょっときついな。这个鞋有点紧。</t>
    <phoneticPr fontId="1" type="noConversion"/>
  </si>
  <si>
    <t>きついスケジュールで疲れてしまった。因为日程太紧凑，我累坏了。</t>
    <phoneticPr fontId="1" type="noConversion"/>
  </si>
  <si>
    <t>彼女の言い方はきついけど、悪気はないよ。她说话虽然冲了点，但没有恶意。</t>
    <phoneticPr fontId="1" type="noConversion"/>
  </si>
  <si>
    <t>このにおい、ちょっときつくない？这个味道是不是有点刺鼻？</t>
    <phoneticPr fontId="1" type="noConversion"/>
  </si>
  <si>
    <t>きつい仕事（辛苦的工作）、きつい性格（强硬的性格）、スケジュールがきつい（行程紧凑）、きつい冗談（毒舌的玩笑）、靴がきつい（鞋子紧）、匂いがきつい（味道刺鼻）、日差しがきつい（阳光强烈）</t>
    <phoneticPr fontId="1" type="noConversion"/>
  </si>
  <si>
    <t>工事の仕事は体にきつい。建筑工程的工作对身体来说很辛苦。</t>
    <phoneticPr fontId="1" type="noConversion"/>
  </si>
  <si>
    <t>気の毒</t>
    <phoneticPr fontId="1" type="noConversion"/>
  </si>
  <si>
    <t>きのどく</t>
  </si>
  <si>
    <t>可怜的、同情的</t>
  </si>
  <si>
    <t>病気で旅行に行けなかったとは気の毒ですね。因为生病没能去旅行，真是可怜啊。</t>
    <phoneticPr fontId="1" type="noConversion"/>
  </si>
  <si>
    <t>お母様を亡くされたと聞いて、気の毒に思います。听说您母亲去世了，我深感惋惜。</t>
    <phoneticPr fontId="1" type="noConversion"/>
  </si>
  <si>
    <t>お気の毒さま。心よりお悔やみ申し上げます。真让人难过，谨致以诚挚哀悼。</t>
    <phoneticPr fontId="1" type="noConversion"/>
  </si>
  <si>
    <t>せっかく来ていただいたのに、お見せできず気の毒です。您特地来了却没能给您看，实在抱歉。</t>
    <phoneticPr fontId="1" type="noConversion"/>
  </si>
  <si>
    <t>気の毒に思う	觉得可怜、感到同情
気の毒な人	可怜的人
気の毒ですが…	很抱歉…（常用于开场）
お気の毒さまです	真可怜、真遗憾（用于安慰）
気の毒なくらい	到让人心疼的程度</t>
    <phoneticPr fontId="1" type="noConversion"/>
  </si>
  <si>
    <t>彼の立場を思うと気の毒でならない。一想到他的处境，我就感到不忍。</t>
    <phoneticPr fontId="1" type="noConversion"/>
  </si>
  <si>
    <t>逆</t>
    <phoneticPr fontId="1" type="noConversion"/>
  </si>
  <si>
    <t>ぎゃく</t>
  </si>
  <si>
    <t>相反的</t>
  </si>
  <si>
    <t>逆に</t>
    <phoneticPr fontId="1" type="noConversion"/>
  </si>
  <si>
    <t>ぎゃくに</t>
  </si>
  <si>
    <t>相反地</t>
  </si>
  <si>
    <t>きゅうそく</t>
  </si>
  <si>
    <t>迅速的</t>
  </si>
  <si>
    <r>
      <rPr>
        <sz val="11"/>
        <color rgb="FFFF0000"/>
        <rFont val="游ゴシック"/>
        <family val="3"/>
        <charset val="128"/>
      </rPr>
      <t>清</t>
    </r>
    <r>
      <rPr>
        <sz val="11"/>
        <color theme="1"/>
        <rFont val="游ゴシック"/>
        <family val="2"/>
        <charset val="128"/>
      </rPr>
      <t>い</t>
    </r>
    <phoneticPr fontId="1" type="noConversion"/>
  </si>
  <si>
    <t>きよい</t>
  </si>
  <si>
    <t>清澈的、纯净的</t>
  </si>
  <si>
    <t>器用</t>
    <phoneticPr fontId="1" type="noConversion"/>
  </si>
  <si>
    <t>きよう</t>
  </si>
  <si>
    <t>灵巧的、巧妙的（动手能力强）；圆滑、灵活（做事方式灵活、处理人际关系得体）</t>
    <phoneticPr fontId="1" type="noConversion"/>
  </si>
  <si>
    <t>彼女は裁縫がとても器用だ。她的裁缝手艺非常灵巧。</t>
    <phoneticPr fontId="1" type="noConversion"/>
  </si>
  <si>
    <t>あの子は何でも器用にこなすね。那孩子做什么都能灵活应对。</t>
    <phoneticPr fontId="1" type="noConversion"/>
  </si>
  <si>
    <t>器用な人ほど失敗を恐れて挑戦しないことがある。越是手巧的人，有时越怕失败而不敢挑战。</t>
    <phoneticPr fontId="1" type="noConversion"/>
  </si>
  <si>
    <t>器用な人はどこへ行っても重宝される。手巧的人无论去哪儿都受欢迎。</t>
    <phoneticPr fontId="1" type="noConversion"/>
  </si>
  <si>
    <t>器用な人（灵巧的人）、器用な手（灵巧的手）、器用にこなす（灵活应对）、口先が器用（嘴巴巧）、器用貧乏（样样通样样松）</t>
    <phoneticPr fontId="1" type="noConversion"/>
  </si>
  <si>
    <t>共通</t>
    <phoneticPr fontId="1" type="noConversion"/>
  </si>
  <si>
    <t>きょうつう</t>
  </si>
  <si>
    <t>共同的、共通的</t>
  </si>
  <si>
    <t>きょだい</t>
  </si>
  <si>
    <t>巨大的</t>
  </si>
  <si>
    <t>気楽</t>
    <phoneticPr fontId="1" type="noConversion"/>
  </si>
  <si>
    <t>きらく</t>
  </si>
  <si>
    <t>轻松，安全</t>
    <phoneticPr fontId="1" type="noConversion"/>
  </si>
  <si>
    <t>緊急</t>
    <phoneticPr fontId="1" type="noConversion"/>
  </si>
  <si>
    <t>きんきゅう</t>
  </si>
  <si>
    <t>紧急的</t>
  </si>
  <si>
    <t>勤勉</t>
    <phoneticPr fontId="1" type="noConversion"/>
  </si>
  <si>
    <t>きんべん</t>
  </si>
  <si>
    <t>勤奋的</t>
  </si>
  <si>
    <t>くどい/諄い</t>
    <phoneticPr fontId="1" type="noConversion"/>
  </si>
  <si>
    <t>くどい/くどい</t>
  </si>
  <si>
    <t>唠叨的、啰嗦的；过于浓烈的（味道、颜色等）</t>
    <phoneticPr fontId="1" type="noConversion"/>
  </si>
  <si>
    <t>彼は同じことを何度も言ってくどい。他一件事反复说，很烦人。</t>
    <phoneticPr fontId="1" type="noConversion"/>
  </si>
  <si>
    <t>くどいようですが、もう一度説明します。虽然有点啰嗦，我再解释一次。</t>
    <phoneticPr fontId="1" type="noConversion"/>
  </si>
  <si>
    <t>このスープはくどくて、たくさんは飲めない。这汤太油腻喝不了多少。</t>
    <phoneticPr fontId="1" type="noConversion"/>
  </si>
  <si>
    <t>くどい説明：啰嗦的说明
くどい味：过于浓重的味道
くどい文章：冗长的文章
くどい色使い：颜色用得太浓重
くどい人：爱啰嗦的人、烦人
くどく話す：啰嗦地说
くどく言う：反复唠叨
くどく説明する：反复解释</t>
    <phoneticPr fontId="1" type="noConversion"/>
  </si>
  <si>
    <t>悔しい</t>
    <phoneticPr fontId="1" type="noConversion"/>
  </si>
  <si>
    <t>くやしい</t>
  </si>
  <si>
    <t>令人懊悔的</t>
  </si>
  <si>
    <t>苦しい</t>
    <phoneticPr fontId="1" type="noConversion"/>
  </si>
  <si>
    <t>くるしい</t>
  </si>
  <si>
    <t>痛苦的、艰难的</t>
  </si>
  <si>
    <t>詳しい</t>
    <phoneticPr fontId="1" type="noConversion"/>
  </si>
  <si>
    <t>くわしい</t>
  </si>
  <si>
    <t>详细的</t>
  </si>
  <si>
    <t>経済的</t>
    <phoneticPr fontId="1" type="noConversion"/>
  </si>
  <si>
    <t>けいざいてき</t>
  </si>
  <si>
    <t>经济的</t>
  </si>
  <si>
    <t>けち</t>
    <phoneticPr fontId="1" type="noConversion"/>
  </si>
  <si>
    <t>けち</t>
  </si>
  <si>
    <t>小气的</t>
  </si>
  <si>
    <t>煙い</t>
    <phoneticPr fontId="1" type="noConversion"/>
  </si>
  <si>
    <t>けむい</t>
    <phoneticPr fontId="1" type="noConversion"/>
  </si>
  <si>
    <t>烟雾弥漫的</t>
  </si>
  <si>
    <t>煙</t>
    <phoneticPr fontId="1" type="noConversion"/>
  </si>
  <si>
    <t>けむり</t>
    <phoneticPr fontId="1" type="noConversion"/>
  </si>
  <si>
    <t>謙虚</t>
    <phoneticPr fontId="1" type="noConversion"/>
  </si>
  <si>
    <t>けんきょ</t>
    <phoneticPr fontId="1" type="noConversion"/>
  </si>
  <si>
    <t>谦虚的</t>
  </si>
  <si>
    <r>
      <t>謙</t>
    </r>
    <r>
      <rPr>
        <sz val="11"/>
        <color rgb="FFFF0000"/>
        <rFont val="游ゴシック"/>
        <family val="3"/>
        <charset val="128"/>
      </rPr>
      <t>遜</t>
    </r>
    <phoneticPr fontId="1" type="noConversion"/>
  </si>
  <si>
    <t>けんそん</t>
    <phoneticPr fontId="1" type="noConversion"/>
  </si>
  <si>
    <t>谦逊的</t>
  </si>
  <si>
    <t>高級</t>
    <phoneticPr fontId="1" type="noConversion"/>
  </si>
  <si>
    <t>こうきゅう</t>
  </si>
  <si>
    <t>高级的</t>
  </si>
  <si>
    <t>幸福</t>
    <phoneticPr fontId="1" type="noConversion"/>
  </si>
  <si>
    <t>こうふく</t>
  </si>
  <si>
    <t>幸福的</t>
  </si>
  <si>
    <t>公平</t>
    <phoneticPr fontId="1" type="noConversion"/>
  </si>
  <si>
    <t>こうへい</t>
  </si>
  <si>
    <t>公平的</t>
  </si>
  <si>
    <t>こがた</t>
  </si>
  <si>
    <t>小型的</t>
  </si>
  <si>
    <t>困難</t>
    <phoneticPr fontId="1" type="noConversion"/>
  </si>
  <si>
    <t>こんなん</t>
  </si>
  <si>
    <t>困难的</t>
  </si>
  <si>
    <t>最高</t>
    <phoneticPr fontId="1" type="noConversion"/>
  </si>
  <si>
    <t>さいこう</t>
  </si>
  <si>
    <t>最高的</t>
  </si>
  <si>
    <t>最多</t>
    <phoneticPr fontId="1" type="noConversion"/>
  </si>
  <si>
    <t>さいた</t>
  </si>
  <si>
    <t>最多的</t>
  </si>
  <si>
    <t>最小</t>
    <phoneticPr fontId="1" type="noConversion"/>
  </si>
  <si>
    <t>さいしょう</t>
  </si>
  <si>
    <t>最小的</t>
  </si>
  <si>
    <t>最低</t>
    <phoneticPr fontId="1" type="noConversion"/>
  </si>
  <si>
    <t>さいてい</t>
  </si>
  <si>
    <t>最低的</t>
  </si>
  <si>
    <t>最適</t>
    <phoneticPr fontId="1" type="noConversion"/>
  </si>
  <si>
    <t>さいてき</t>
  </si>
  <si>
    <t>最适合的</t>
  </si>
  <si>
    <t>幸い</t>
    <phoneticPr fontId="1" type="noConversion"/>
  </si>
  <si>
    <t>さいわい</t>
  </si>
  <si>
    <t>幸运的</t>
  </si>
  <si>
    <t>盛ん</t>
    <phoneticPr fontId="1" type="noConversion"/>
  </si>
  <si>
    <t>さかん</t>
    <phoneticPr fontId="1" type="noConversion"/>
  </si>
  <si>
    <t>繁盛、兴盛、旺盛</t>
    <phoneticPr fontId="1" type="noConversion"/>
  </si>
  <si>
    <t>指活动、现象、状态非常活跃或频繁发生，可用于经济、交流、运动、自然现象、趋势等方面</t>
    <phoneticPr fontId="1" type="noConversion"/>
  </si>
  <si>
    <t>この地域では農業が盛んだ。 这个地区农业非常发达。</t>
    <phoneticPr fontId="1" type="noConversion"/>
  </si>
  <si>
    <t>若い人の間でSNSの利用が盛んになっている。 社交网络在年轻人中使用越来越普遍。</t>
    <phoneticPr fontId="1" type="noConversion"/>
  </si>
  <si>
    <t>あの国はスポーツが盛んだ。 那个国家体育活动很活跃。</t>
    <phoneticPr fontId="1" type="noConversion"/>
  </si>
  <si>
    <t>火山の活動が盛んで注意が必要だ。 火山活动频繁，需要注意。</t>
    <phoneticPr fontId="1" type="noConversion"/>
  </si>
  <si>
    <t>盛んな活動	活跃的活动
盛んな議論	激烈的讨论
貿易が盛んだ	贸易很繁荣
火山活動が盛んだ	火山活动活跃
若者の間で盛んに使われている	在年轻人中被广泛使用</t>
    <phoneticPr fontId="1" type="noConversion"/>
  </si>
  <si>
    <t>その話題について盛んな議論が交わされた。 关于那个话题展开了激烈的讨论。</t>
    <phoneticPr fontId="1" type="noConversion"/>
  </si>
  <si>
    <t>爽やか</t>
    <phoneticPr fontId="1" type="noConversion"/>
  </si>
  <si>
    <t>さわやか</t>
  </si>
  <si>
    <t>清爽的、爽快的</t>
  </si>
  <si>
    <t>塩辛い</t>
    <phoneticPr fontId="1" type="noConversion"/>
  </si>
  <si>
    <t>しおからい</t>
  </si>
  <si>
    <t>咸的</t>
  </si>
  <si>
    <t>自動的</t>
    <phoneticPr fontId="1" type="noConversion"/>
  </si>
  <si>
    <t>じどうてき</t>
  </si>
  <si>
    <t>自动的</t>
  </si>
  <si>
    <t>地味</t>
    <phoneticPr fontId="1" type="noConversion"/>
  </si>
  <si>
    <t>じみ</t>
  </si>
  <si>
    <t>朴素、低调、不张扬</t>
    <phoneticPr fontId="1" type="noConversion"/>
  </si>
  <si>
    <t>指颜色、装扮、风格、性格等简单、不花哨、没有华丽装饰，反义词派手</t>
    <phoneticPr fontId="1" type="noConversion"/>
  </si>
  <si>
    <t>彼女は派手な服より地味な服を好む。 她喜欢穿朴素的衣服，不喜欢花哨的。</t>
    <phoneticPr fontId="1" type="noConversion"/>
  </si>
  <si>
    <t>このバッグは地味な色でどんな服にも合う。 这个包颜色低调，和任何衣服都搭。</t>
    <phoneticPr fontId="1" type="noConversion"/>
  </si>
  <si>
    <t>地味な人だけど、とても誠実だ。 他虽然低调，但非常诚实。</t>
    <phoneticPr fontId="1" type="noConversion"/>
  </si>
  <si>
    <t>地味に毎日コツコツ勉強している。 每天默默地坚持学习。</t>
    <phoneticPr fontId="1" type="noConversion"/>
  </si>
  <si>
    <t>地味な服装	朴素的穿着
地味な色	低调的颜色
地味な性格	不张扬的性格
地味な化粧	自然淡雅的妆容
地味に努力する	默默努力</t>
    <phoneticPr fontId="1" type="noConversion"/>
  </si>
  <si>
    <t>地味なデザインがかえっておしゃれに見える。 朴素的设计反而显得时尚。</t>
    <phoneticPr fontId="1" type="noConversion"/>
  </si>
  <si>
    <r>
      <t>派</t>
    </r>
    <r>
      <rPr>
        <sz val="11"/>
        <color rgb="FFFF0000"/>
        <rFont val="游ゴシック"/>
        <family val="3"/>
        <charset val="128"/>
      </rPr>
      <t>手</t>
    </r>
    <phoneticPr fontId="1" type="noConversion"/>
  </si>
  <si>
    <t>はで</t>
  </si>
  <si>
    <t>花哨的、华丽的</t>
  </si>
  <si>
    <t>彼女は派手なファッションが好きだ。 她喜欢穿着花哨的服装。</t>
    <phoneticPr fontId="1" type="noConversion"/>
  </si>
  <si>
    <t>そんなに派手な化粧をしなくてもいいよ。 不需要化那么浓的妆啦。</t>
    <phoneticPr fontId="1" type="noConversion"/>
  </si>
  <si>
    <t>あの人は性格も見た目も派手だね。 那个人无论性格还是外表都很张扬。</t>
    <phoneticPr fontId="1" type="noConversion"/>
  </si>
  <si>
    <t>派手にパーティーを開いた。 办了个非常热闹奢华的派对。</t>
    <phoneticPr fontId="1" type="noConversion"/>
  </si>
  <si>
    <t>派手な服	花哨的衣服
派手な化粧	浓妆艳抹
派手な人	打扮浮夸的人
派手に遊ぶ	玩得很花、铺张地玩
派手な生活	奢侈、张扬的生活方式</t>
    <phoneticPr fontId="1" type="noConversion"/>
  </si>
  <si>
    <t>昔は派手に遊んでいたが、今は落ち着いている。 以前玩得很花，现在已经沉稳了。</t>
    <phoneticPr fontId="1" type="noConversion"/>
  </si>
  <si>
    <t>自由</t>
    <phoneticPr fontId="1" type="noConversion"/>
  </si>
  <si>
    <t>じゆう</t>
  </si>
  <si>
    <t>自由的、随意的</t>
  </si>
  <si>
    <t>重大</t>
    <phoneticPr fontId="1" type="noConversion"/>
  </si>
  <si>
    <t>じゅうだい</t>
  </si>
  <si>
    <t>重大、重要</t>
  </si>
  <si>
    <t>主要</t>
    <phoneticPr fontId="1" type="noConversion"/>
  </si>
  <si>
    <t>しゅよう</t>
  </si>
  <si>
    <t>主要的、主导的</t>
  </si>
  <si>
    <t>順調</t>
    <phoneticPr fontId="1" type="noConversion"/>
  </si>
  <si>
    <t>じゅんちょう</t>
  </si>
  <si>
    <t>顺利的、顺畅的</t>
  </si>
  <si>
    <t>しょうがない</t>
    <phoneticPr fontId="1" type="noConversion"/>
  </si>
  <si>
    <t>しょうがない</t>
  </si>
  <si>
    <t>没办法、无可奈何</t>
  </si>
  <si>
    <t>消極的</t>
    <phoneticPr fontId="1" type="noConversion"/>
  </si>
  <si>
    <t>しょうきょくてき</t>
  </si>
  <si>
    <t>消极的</t>
  </si>
  <si>
    <t>正直</t>
    <phoneticPr fontId="1" type="noConversion"/>
  </si>
  <si>
    <t>しょうじき</t>
  </si>
  <si>
    <t>真实的、诚实的</t>
    <phoneticPr fontId="1" type="noConversion"/>
  </si>
  <si>
    <t xml:space="preserve"> 指一个人说实话、行为正派、不欺骗他人</t>
    <phoneticPr fontId="1" type="noConversion"/>
  </si>
  <si>
    <t>彼はとても正直な人です。 他是个非常诚实的人。</t>
    <phoneticPr fontId="1" type="noConversion"/>
  </si>
  <si>
    <t>正直に言うと、その話は信じられない。 说实话，那个故事难以置信。</t>
    <phoneticPr fontId="1" type="noConversion"/>
  </si>
  <si>
    <t>正直な意見を聞かせてください。 请告诉我你的真实想法。</t>
    <phoneticPr fontId="1" type="noConversion"/>
  </si>
  <si>
    <t>彼女は正直者としてみんなに信頼されている。 她作为诚实的人受到大家信赖。</t>
    <phoneticPr fontId="1" type="noConversion"/>
  </si>
  <si>
    <t>正直な人	诚实的人
正直な意見	坦率的意见
正直に言う	诚实地说
正直者	诚实的人（名词）
正直な気持ち	真实的心情</t>
    <phoneticPr fontId="1" type="noConversion"/>
  </si>
  <si>
    <t>正直な気持ちを伝えることが大切だ。 传达真实的感情很重要。</t>
    <phoneticPr fontId="1" type="noConversion"/>
  </si>
  <si>
    <t>じょうとう</t>
  </si>
  <si>
    <t>上等的、优质的</t>
  </si>
  <si>
    <t>上品</t>
    <phoneticPr fontId="1" type="noConversion"/>
  </si>
  <si>
    <t>じょうひん</t>
  </si>
  <si>
    <t>高雅的、上等的</t>
  </si>
  <si>
    <t>塩っぱい</t>
    <phoneticPr fontId="1" type="noConversion"/>
  </si>
  <si>
    <t>しょっぱい</t>
  </si>
  <si>
    <t>咸的（与"塩辛い"类似）</t>
  </si>
  <si>
    <t>深刻</t>
    <phoneticPr fontId="1" type="noConversion"/>
  </si>
  <si>
    <t>しんこく</t>
  </si>
  <si>
    <t>深刻的、严峻的</t>
  </si>
  <si>
    <t>慎重</t>
    <phoneticPr fontId="1" type="noConversion"/>
  </si>
  <si>
    <t>しんちょう</t>
  </si>
  <si>
    <t>慎重的、小心的</t>
  </si>
  <si>
    <t>酸っぱい</t>
    <phoneticPr fontId="1" type="noConversion"/>
  </si>
  <si>
    <t>すっぱい</t>
  </si>
  <si>
    <t>酸的</t>
  </si>
  <si>
    <t>素敵</t>
    <phoneticPr fontId="1" type="noConversion"/>
  </si>
  <si>
    <t>すてき</t>
  </si>
  <si>
    <t>迷人的、棒的</t>
  </si>
  <si>
    <t>素直</t>
    <phoneticPr fontId="1" type="noConversion"/>
  </si>
  <si>
    <t>すなお</t>
  </si>
  <si>
    <t>老实的；纯真的</t>
    <phoneticPr fontId="1" type="noConversion"/>
  </si>
  <si>
    <t>彼は素直な性格で、誰とでも仲良くなれる。 他性格老实，能和谁都处得来。</t>
    <phoneticPr fontId="1" type="noConversion"/>
  </si>
  <si>
    <t>素直に謝れば、きっと許してもらえるよ。 你要诚恳道歉，肯定会被原谅的。</t>
    <phoneticPr fontId="1" type="noConversion"/>
  </si>
  <si>
    <t>素直に人の話を聞くことが大切だ。 老实听别人说话很重要。</t>
    <phoneticPr fontId="1" type="noConversion"/>
  </si>
  <si>
    <t>子どもは素直な気持ちを持っている。 孩子们怀有纯真的心情。</t>
    <phoneticPr fontId="1" type="noConversion"/>
  </si>
  <si>
    <t>素直な性格	老实的性格
素直に謝る	老实地道歉
素直に聞く	顺从地听取
素直な気持ち	纯真的心情
素直になれない	不能坦率表达（不老实）</t>
    <phoneticPr fontId="1" type="noConversion"/>
  </si>
  <si>
    <t>彼女は素直になれなくて、つい強がってしまう。 她不能坦率表达心意，总是逞强。</t>
    <phoneticPr fontId="1" type="noConversion"/>
  </si>
  <si>
    <t>すまない</t>
    <phoneticPr fontId="1" type="noConversion"/>
  </si>
  <si>
    <t>すまない</t>
  </si>
  <si>
    <t>对不起、抱歉</t>
  </si>
  <si>
    <t>狡い</t>
  </si>
  <si>
    <t>ずる</t>
    <phoneticPr fontId="1" type="noConversion"/>
  </si>
  <si>
    <t>ずるい</t>
    <phoneticPr fontId="1" type="noConversion"/>
  </si>
  <si>
    <t>狡猾</t>
  </si>
  <si>
    <t>正確</t>
    <phoneticPr fontId="1" type="noConversion"/>
  </si>
  <si>
    <t>せいかく</t>
  </si>
  <si>
    <t>正确的、精确的</t>
  </si>
  <si>
    <t>正式</t>
    <phoneticPr fontId="1" type="noConversion"/>
  </si>
  <si>
    <t>せいしき</t>
  </si>
  <si>
    <t>正式的</t>
  </si>
  <si>
    <t>正常</t>
    <phoneticPr fontId="1" type="noConversion"/>
  </si>
  <si>
    <t>せいじょう</t>
  </si>
  <si>
    <t>正常的、平常的</t>
  </si>
  <si>
    <t>贅沢</t>
    <phoneticPr fontId="1" type="noConversion"/>
  </si>
  <si>
    <t>ぜいたく</t>
  </si>
  <si>
    <t>奢侈的、奢华的</t>
  </si>
  <si>
    <t>積極的</t>
    <phoneticPr fontId="1" type="noConversion"/>
  </si>
  <si>
    <t>せっきょくてき</t>
  </si>
  <si>
    <t>积极的</t>
  </si>
  <si>
    <t>狭い</t>
    <phoneticPr fontId="1" type="noConversion"/>
  </si>
  <si>
    <t>せまい</t>
  </si>
  <si>
    <t>狭窄的</t>
  </si>
  <si>
    <t>粗末</t>
    <phoneticPr fontId="1" type="noConversion"/>
  </si>
  <si>
    <t>そまつ</t>
  </si>
  <si>
    <r>
      <t>粗陋，粗糙</t>
    </r>
    <r>
      <rPr>
        <sz val="11"/>
        <color theme="1"/>
        <rFont val="游ゴシック"/>
        <family val="2"/>
        <charset val="128"/>
      </rPr>
      <t>,</t>
    </r>
    <r>
      <rPr>
        <sz val="11"/>
        <color theme="1"/>
        <rFont val="等线"/>
        <family val="2"/>
        <scheme val="minor"/>
      </rPr>
      <t>简陋</t>
    </r>
    <phoneticPr fontId="1" type="noConversion"/>
  </si>
  <si>
    <t>粗末な食事でも、感謝の気持ちが大切だ。即使是简单的饭菜，也要心怀感恩。</t>
    <phoneticPr fontId="1" type="noConversion"/>
  </si>
  <si>
    <t>物を粗末にしてはいけません。不能糟蹋东西。</t>
    <phoneticPr fontId="1" type="noConversion"/>
  </si>
  <si>
    <t>粗末な家ですが、心はこもっています。虽然房子简陋，但满含真心。</t>
    <phoneticPr fontId="1" type="noConversion"/>
  </si>
  <si>
    <t>粗末な食事：简陋的饭菜
粗末な家：简陋的房子
粗末な服：粗糙的衣服
粗末に扱う：怠慢对待
粗末な贈り物：寒酸的礼物（用于自谦）
粗末にする：怠慢、糟蹋
粗末に扱う：不珍惜、不尊重
粗末なものを食べる：吃粗糙的东西</t>
    <phoneticPr fontId="1" type="noConversion"/>
  </si>
  <si>
    <t>損</t>
    <phoneticPr fontId="1" type="noConversion"/>
  </si>
  <si>
    <t>そん</t>
  </si>
  <si>
    <t>损失、不利</t>
  </si>
  <si>
    <t>退屈</t>
    <phoneticPr fontId="1" type="noConversion"/>
  </si>
  <si>
    <t>たいくつ</t>
  </si>
  <si>
    <t>无聊的、乏味的</t>
  </si>
  <si>
    <r>
      <rPr>
        <sz val="11"/>
        <color rgb="FFFF0000"/>
        <rFont val="游ゴシック"/>
        <family val="3"/>
        <charset val="128"/>
      </rPr>
      <t>平</t>
    </r>
    <r>
      <rPr>
        <sz val="11"/>
        <color theme="1"/>
        <rFont val="游ゴシック"/>
        <family val="2"/>
        <charset val="128"/>
      </rPr>
      <t>ら</t>
    </r>
    <phoneticPr fontId="1" type="noConversion"/>
  </si>
  <si>
    <t>たいら</t>
  </si>
  <si>
    <t>平坦的、平整的</t>
    <phoneticPr fontId="1" type="noConversion"/>
  </si>
  <si>
    <t>平　ひら</t>
    <phoneticPr fontId="1" type="noConversion"/>
  </si>
  <si>
    <t>この机の表面はとても平らだ。 这张桌子的表面非常平整。</t>
    <phoneticPr fontId="1" type="noConversion"/>
  </si>
  <si>
    <t>道を平らにしてから舗装します。 把道路整平后再铺设。</t>
    <phoneticPr fontId="1" type="noConversion"/>
  </si>
  <si>
    <t>平らな場所にテントを張ってください。 请在平坦的地方搭帐篷。</t>
    <phoneticPr fontId="1" type="noConversion"/>
  </si>
  <si>
    <t>彼は出された料理をすべて平らげた。 他把端上的饭菜全吃光了。</t>
    <phoneticPr fontId="1" type="noConversion"/>
  </si>
  <si>
    <t>平らな道	平坦的路
平らな土地	平整的土地
平らにする	使平整
平らに座る	端正地坐好
平らげる（动词）	吃光、消灭（衍生词）</t>
    <phoneticPr fontId="1" type="noConversion"/>
  </si>
  <si>
    <t>この辺りは平らな地形が続いている。 这一带地形平坦连绵。</t>
    <phoneticPr fontId="1" type="noConversion"/>
  </si>
  <si>
    <t>短気</t>
    <phoneticPr fontId="1" type="noConversion"/>
  </si>
  <si>
    <t>たんき</t>
  </si>
  <si>
    <t>急性子的</t>
    <phoneticPr fontId="1" type="noConversion"/>
  </si>
  <si>
    <t>指一个人缺乏耐性，容易因小事生气或冲动</t>
    <phoneticPr fontId="1" type="noConversion"/>
  </si>
  <si>
    <t>彼は短気だけど根は優しい人だ。 他是个急性子，但本质上是个好人。</t>
    <phoneticPr fontId="1" type="noConversion"/>
  </si>
  <si>
    <t>そんなことで短気を起こさないで。 别因为这种小事就发火嘛。</t>
    <phoneticPr fontId="1" type="noConversion"/>
  </si>
  <si>
    <t>短気な性格は人間関係に影響を与えることがある。 急躁的性格有时会影响人际关系。</t>
    <phoneticPr fontId="1" type="noConversion"/>
  </si>
  <si>
    <t>短気を治すには深呼吸が効果的だよ。 想改掉急性子的话，深呼吸很有效哦。</t>
    <phoneticPr fontId="1" type="noConversion"/>
  </si>
  <si>
    <t>短気な人	急性子的人
短気を起こす	发脾气、冲动行事
短気な性格	急躁的性格
短気を治す	改掉急性子
短気で損をする	因为急性子而吃亏</t>
    <phoneticPr fontId="1" type="noConversion"/>
  </si>
  <si>
    <t>短気で損するタイプだから気をつけてね。 你这种急性子容易吃亏，注意点啊。</t>
    <phoneticPr fontId="1" type="noConversion"/>
  </si>
  <si>
    <t>力強い</t>
    <phoneticPr fontId="1" type="noConversion"/>
  </si>
  <si>
    <t>ちからづよい</t>
  </si>
  <si>
    <t>有力的</t>
  </si>
  <si>
    <t>適度</t>
    <phoneticPr fontId="1" type="noConversion"/>
  </si>
  <si>
    <t>てきど</t>
  </si>
  <si>
    <t>适度的</t>
  </si>
  <si>
    <t>でこぼこ</t>
  </si>
  <si>
    <t>凹凸不平的</t>
  </si>
  <si>
    <t>とうめい</t>
  </si>
  <si>
    <t>透明的</t>
  </si>
  <si>
    <t>得</t>
    <phoneticPr fontId="1" type="noConversion"/>
  </si>
  <si>
    <t>とく</t>
  </si>
  <si>
    <t>好处、利益</t>
  </si>
  <si>
    <t>得意</t>
    <phoneticPr fontId="1" type="noConversion"/>
  </si>
  <si>
    <t>とくい</t>
  </si>
  <si>
    <t>得意的</t>
  </si>
  <si>
    <t>独特的</t>
  </si>
  <si>
    <t>とくゆう</t>
  </si>
  <si>
    <t>特有的</t>
  </si>
  <si>
    <t>懐かしい</t>
    <phoneticPr fontId="1" type="noConversion"/>
  </si>
  <si>
    <t>なつかしい</t>
  </si>
  <si>
    <t>怀念的、思念的</t>
  </si>
  <si>
    <t>生意気</t>
    <phoneticPr fontId="1" type="noConversion"/>
  </si>
  <si>
    <t>なまいき</t>
  </si>
  <si>
    <t>自以为是、傲慢、狂妄</t>
    <phoneticPr fontId="1" type="noConversion"/>
  </si>
  <si>
    <t>指言行举止表现得很自负、不懂谦逊</t>
    <phoneticPr fontId="1" type="noConversion"/>
  </si>
  <si>
    <t>彼は先生に生意気な口をきいて怒られた。 他对老师说了放肆的话，被训斥了。</t>
    <phoneticPr fontId="1" type="noConversion"/>
  </si>
  <si>
    <t>あの子はちょっと生意気だけど憎めない。 那孩子有点自以为是，但又让人讨厌不起来。</t>
    <phoneticPr fontId="1" type="noConversion"/>
  </si>
  <si>
    <t>生意気な態度はやめなさい。 别摆出那副傲慢的样子。</t>
    <phoneticPr fontId="1" type="noConversion"/>
  </si>
  <si>
    <t>若者の生意気な発言に年配者は驚いた。 老年人对年轻人那放肆的发言感到吃惊。</t>
    <phoneticPr fontId="1" type="noConversion"/>
  </si>
  <si>
    <t>生意気な態度	自大傲慢的态度
生意気な口をきく	说话放肆、不知天高地厚
生意気なガキ	自以为是的小孩
生意気を言う	放肆讲话
生意気な若者	傲慢的年轻人</t>
    <phoneticPr fontId="1" type="noConversion"/>
  </si>
  <si>
    <t>生意気なことを言うけど、実は彼は真面目だ。 他虽然说话狂妄，但其实很认真。</t>
    <phoneticPr fontId="1" type="noConversion"/>
  </si>
  <si>
    <r>
      <rPr>
        <sz val="11"/>
        <color rgb="FFFF0000"/>
        <rFont val="等线"/>
        <family val="4"/>
        <charset val="134"/>
        <scheme val="minor"/>
      </rPr>
      <t>苦</t>
    </r>
    <r>
      <rPr>
        <sz val="11"/>
        <color theme="1"/>
        <rFont val="等线"/>
        <family val="2"/>
        <scheme val="minor"/>
      </rPr>
      <t>手</t>
    </r>
    <phoneticPr fontId="1" type="noConversion"/>
  </si>
  <si>
    <r>
      <rPr>
        <sz val="11"/>
        <color rgb="FFFF0000"/>
        <rFont val="等线"/>
        <family val="4"/>
        <charset val="134"/>
        <scheme val="minor"/>
      </rPr>
      <t>にが</t>
    </r>
    <r>
      <rPr>
        <sz val="11"/>
        <color theme="1"/>
        <rFont val="等线"/>
        <family val="2"/>
        <scheme val="minor"/>
      </rPr>
      <t>て</t>
    </r>
    <phoneticPr fontId="1" type="noConversion"/>
  </si>
  <si>
    <t>不擅长</t>
  </si>
  <si>
    <t>憎い</t>
    <phoneticPr fontId="1" type="noConversion"/>
  </si>
  <si>
    <t>にくい</t>
  </si>
  <si>
    <t>令人憎恶的</t>
  </si>
  <si>
    <t>眠たい</t>
    <phoneticPr fontId="1" type="noConversion"/>
  </si>
  <si>
    <t>ねむたい</t>
  </si>
  <si>
    <t>困倦的</t>
  </si>
  <si>
    <t>呑気</t>
    <phoneticPr fontId="1" type="noConversion"/>
  </si>
  <si>
    <t>のんき</t>
  </si>
  <si>
    <t>指对事情态度轻松，不紧张、不担心</t>
    <phoneticPr fontId="1" type="noConversion"/>
  </si>
  <si>
    <t>彼はいつも呑気に構えている。 他总是很悠闲。</t>
    <phoneticPr fontId="1" type="noConversion"/>
  </si>
  <si>
    <t>呑気にしていると、後で困るよ。 太悠闲的话，后面会麻烦的。</t>
    <phoneticPr fontId="1" type="noConversion"/>
  </si>
  <si>
    <t>呑気な性格だから、あまり心配しない。 因为性格悠闲，不太担心。</t>
    <phoneticPr fontId="1" type="noConversion"/>
  </si>
  <si>
    <t>彼女は呑気に暮らしている。 她过得很悠闲。</t>
    <phoneticPr fontId="1" type="noConversion"/>
  </si>
  <si>
    <t>そんな呑気な考え方ではダメだ。 那种漫不经心的想法不行。</t>
    <phoneticPr fontId="1" type="noConversion"/>
  </si>
  <si>
    <t>馬鹿らしい</t>
    <phoneticPr fontId="1" type="noConversion"/>
  </si>
  <si>
    <t>ばからしい</t>
  </si>
  <si>
    <t>可笑的</t>
  </si>
  <si>
    <t>激しい</t>
    <phoneticPr fontId="1" type="noConversion"/>
  </si>
  <si>
    <t>はげしい</t>
  </si>
  <si>
    <t>激烈的</t>
  </si>
  <si>
    <t>幅広い</t>
    <phoneticPr fontId="1" type="noConversion"/>
  </si>
  <si>
    <t>はばひろい</t>
  </si>
  <si>
    <t>宽广的</t>
  </si>
  <si>
    <t>広い</t>
    <phoneticPr fontId="1" type="noConversion"/>
  </si>
  <si>
    <t>ひろい</t>
  </si>
  <si>
    <t>宽广的、开阔的</t>
  </si>
  <si>
    <t>早め</t>
    <phoneticPr fontId="1" type="noConversion"/>
  </si>
  <si>
    <t>はやめ</t>
  </si>
  <si>
    <t>提前的</t>
  </si>
  <si>
    <t>ぴかぴか</t>
    <phoneticPr fontId="1" type="noConversion"/>
  </si>
  <si>
    <t>ぴかぴか</t>
  </si>
  <si>
    <t>闪闪发光的</t>
  </si>
  <si>
    <t>必死</t>
    <phoneticPr fontId="1" type="noConversion"/>
  </si>
  <si>
    <t>ひっし</t>
  </si>
  <si>
    <t>拼命的</t>
  </si>
  <si>
    <t>冷たい</t>
    <phoneticPr fontId="1" type="noConversion"/>
  </si>
  <si>
    <t>つめたい</t>
  </si>
  <si>
    <t>寒冷的</t>
  </si>
  <si>
    <t>れいせい</t>
  </si>
  <si>
    <t>冷静的</t>
    <phoneticPr fontId="1" type="noConversion"/>
  </si>
  <si>
    <t>平等</t>
    <phoneticPr fontId="1" type="noConversion"/>
  </si>
  <si>
    <t>びょうどう</t>
  </si>
  <si>
    <t>平等的</t>
  </si>
  <si>
    <t>敏感</t>
    <phoneticPr fontId="1" type="noConversion"/>
  </si>
  <si>
    <t>びんかん</t>
  </si>
  <si>
    <t>敏感的</t>
  </si>
  <si>
    <t>不安</t>
    <phoneticPr fontId="1" type="noConversion"/>
  </si>
  <si>
    <t>ふあん</t>
  </si>
  <si>
    <t>不安的</t>
  </si>
  <si>
    <t>安定</t>
    <phoneticPr fontId="1" type="noConversion"/>
  </si>
  <si>
    <t>あんてい</t>
  </si>
  <si>
    <t>稳定的</t>
  </si>
  <si>
    <t>指事物状态平稳、不变动、无波动，心情、生活、经济等方面均可使用</t>
    <phoneticPr fontId="1" type="noConversion"/>
  </si>
  <si>
    <t>彼は安定した収入を得ている。 他有稳定的收入。</t>
    <phoneticPr fontId="1" type="noConversion"/>
  </si>
  <si>
    <t>最近、経済状況が安定してきた。 最近经济状况趋于稳定。</t>
    <phoneticPr fontId="1" type="noConversion"/>
  </si>
  <si>
    <t>心の安定が健康に大切だ。 心情稳定对健康很重要。</t>
    <phoneticPr fontId="1" type="noConversion"/>
  </si>
  <si>
    <t>安定した仕事を探しています。 我正在找一份稳定的工作。</t>
    <phoneticPr fontId="1" type="noConversion"/>
  </si>
  <si>
    <t>安定した生活	稳定的生活
経済が安定する	经济稳定
心の安定	心情平稳
安定した仕事	稳定的工作
安定感がある	有稳定感</t>
    <phoneticPr fontId="1" type="noConversion"/>
  </si>
  <si>
    <t>この家は地震に対して安定している。 这栋房子在地震时很稳固。</t>
    <phoneticPr fontId="1" type="noConversion"/>
  </si>
  <si>
    <t>心配</t>
    <phoneticPr fontId="1" type="noConversion"/>
  </si>
  <si>
    <t>しんぱい</t>
  </si>
  <si>
    <t>担心</t>
  </si>
  <si>
    <t>不可能</t>
    <phoneticPr fontId="1" type="noConversion"/>
  </si>
  <si>
    <t>ふかのう</t>
  </si>
  <si>
    <t>不可能的</t>
  </si>
  <si>
    <t>複雑</t>
    <phoneticPr fontId="1" type="noConversion"/>
  </si>
  <si>
    <t>ふくざつ</t>
  </si>
  <si>
    <t>复杂的</t>
  </si>
  <si>
    <t>」ｊｎ</t>
    <phoneticPr fontId="1" type="noConversion"/>
  </si>
  <si>
    <t>不幸</t>
    <phoneticPr fontId="1" type="noConversion"/>
  </si>
  <si>
    <t>ふこう</t>
  </si>
  <si>
    <t>不幸的</t>
  </si>
  <si>
    <t>不公平</t>
    <phoneticPr fontId="1" type="noConversion"/>
  </si>
  <si>
    <t>ふこうへい</t>
  </si>
  <si>
    <t>不公平的</t>
  </si>
  <si>
    <t>無事</t>
    <phoneticPr fontId="1" type="noConversion"/>
  </si>
  <si>
    <t>ぶじ</t>
  </si>
  <si>
    <t>安全的、无事的</t>
  </si>
  <si>
    <t>不十分</t>
    <phoneticPr fontId="1" type="noConversion"/>
  </si>
  <si>
    <t>ふじゅうぶん</t>
  </si>
  <si>
    <t>不足的</t>
  </si>
  <si>
    <t>不足</t>
    <phoneticPr fontId="1" type="noConversion"/>
  </si>
  <si>
    <t>ふそく</t>
  </si>
  <si>
    <t>不足、不够</t>
  </si>
  <si>
    <t>不注意</t>
    <phoneticPr fontId="1" type="noConversion"/>
  </si>
  <si>
    <t>ふちゅうい</t>
  </si>
  <si>
    <t>不小心的</t>
  </si>
  <si>
    <t>不満</t>
    <phoneticPr fontId="1" type="noConversion"/>
  </si>
  <si>
    <t>ふまん</t>
  </si>
  <si>
    <t>不满的</t>
  </si>
  <si>
    <t>満足　まんぞく</t>
    <phoneticPr fontId="1" type="noConversion"/>
  </si>
  <si>
    <t>不愉快</t>
    <phoneticPr fontId="1" type="noConversion"/>
  </si>
  <si>
    <t>ふゆかい</t>
  </si>
  <si>
    <t>不愉快的</t>
  </si>
  <si>
    <t>平気</t>
    <phoneticPr fontId="1" type="noConversion"/>
  </si>
  <si>
    <t>へいき</t>
  </si>
  <si>
    <t>冷静的</t>
  </si>
  <si>
    <t>別々</t>
    <phoneticPr fontId="1" type="noConversion"/>
  </si>
  <si>
    <t>べつべつ</t>
  </si>
  <si>
    <t>分开、各自</t>
  </si>
  <si>
    <t>ペラペラ</t>
    <phoneticPr fontId="1" type="noConversion"/>
  </si>
  <si>
    <t>ぺらぺら</t>
  </si>
  <si>
    <t>流利的</t>
  </si>
  <si>
    <t>彼はずっとペラペラしゃべり続けている。他一直滔滔不绝地说个不停。</t>
    <phoneticPr fontId="1" type="noConversion"/>
  </si>
  <si>
    <t>彼女は英語がペラペラだ。她英语很流利。</t>
    <phoneticPr fontId="1" type="noConversion"/>
  </si>
  <si>
    <t>この紙はペラペラで、すぐ破れそうだ。这张纸很薄，看起来马上就要破了。</t>
    <phoneticPr fontId="1" type="noConversion"/>
  </si>
  <si>
    <r>
      <rPr>
        <sz val="11"/>
        <color rgb="FFFF0000"/>
        <rFont val="等线"/>
        <family val="4"/>
        <charset val="134"/>
        <scheme val="minor"/>
      </rPr>
      <t>朗</t>
    </r>
    <r>
      <rPr>
        <sz val="11"/>
        <color theme="1"/>
        <rFont val="等线"/>
        <family val="2"/>
        <scheme val="minor"/>
      </rPr>
      <t>らか</t>
    </r>
    <phoneticPr fontId="1" type="noConversion"/>
  </si>
  <si>
    <t>ほがらか</t>
    <phoneticPr fontId="1" type="noConversion"/>
  </si>
  <si>
    <t>开朗的、爽朗</t>
    <phoneticPr fontId="1" type="noConversion"/>
  </si>
  <si>
    <t>彼女はいつも朗らかで、周りの人を元気にしてくれる。她总是很开朗，让周围的人充满元气。</t>
    <phoneticPr fontId="1" type="noConversion"/>
  </si>
  <si>
    <t>彼の朗らかな性格は職場でも人気だ。他开朗的性格在职场也很受欢迎。</t>
    <phoneticPr fontId="1" type="noConversion"/>
  </si>
  <si>
    <t>朗らかな笑いが部屋中に広がった。爽朗的笑声在房间里回荡开来。</t>
    <phoneticPr fontId="1" type="noConversion"/>
  </si>
  <si>
    <r>
      <rPr>
        <sz val="11"/>
        <color rgb="FFFF0000"/>
        <rFont val="游ゴシック"/>
        <family val="3"/>
        <charset val="128"/>
      </rPr>
      <t>細</t>
    </r>
    <r>
      <rPr>
        <sz val="11"/>
        <color theme="1"/>
        <rFont val="游ゴシック"/>
        <family val="2"/>
        <charset val="128"/>
      </rPr>
      <t>長い</t>
    </r>
    <phoneticPr fontId="1" type="noConversion"/>
  </si>
  <si>
    <r>
      <rPr>
        <sz val="11"/>
        <color rgb="FFFF0000"/>
        <rFont val="等线"/>
        <family val="4"/>
        <charset val="134"/>
        <scheme val="minor"/>
      </rPr>
      <t>ほそ</t>
    </r>
    <r>
      <rPr>
        <sz val="11"/>
        <color theme="1"/>
        <rFont val="等线"/>
        <family val="2"/>
        <scheme val="minor"/>
      </rPr>
      <t>ながい</t>
    </r>
    <phoneticPr fontId="1" type="noConversion"/>
  </si>
  <si>
    <t>细长的</t>
  </si>
  <si>
    <t>細かい　こまかい</t>
    <phoneticPr fontId="1" type="noConversion"/>
  </si>
  <si>
    <t>細長い部屋（狭长的房间）</t>
    <phoneticPr fontId="1" type="noConversion"/>
  </si>
  <si>
    <t>細長い顔（细长的脸）</t>
    <phoneticPr fontId="1" type="noConversion"/>
  </si>
  <si>
    <t>細長い紙を半分に折ってください。请把这张细长的纸对折一下。</t>
    <phoneticPr fontId="1" type="noConversion"/>
  </si>
  <si>
    <t>増し</t>
    <phoneticPr fontId="1" type="noConversion"/>
  </si>
  <si>
    <t>まし</t>
  </si>
  <si>
    <t>增加的</t>
  </si>
  <si>
    <t>貧しい</t>
    <phoneticPr fontId="1" type="noConversion"/>
  </si>
  <si>
    <r>
      <rPr>
        <sz val="11"/>
        <color rgb="FFFF0000"/>
        <rFont val="等线"/>
        <family val="4"/>
        <charset val="134"/>
        <scheme val="minor"/>
      </rPr>
      <t>まず</t>
    </r>
    <r>
      <rPr>
        <sz val="11"/>
        <color theme="1"/>
        <rFont val="等线"/>
        <family val="2"/>
        <scheme val="minor"/>
      </rPr>
      <t>しい</t>
    </r>
    <phoneticPr fontId="1" type="noConversion"/>
  </si>
  <si>
    <t>贫穷的</t>
  </si>
  <si>
    <t>真っ赤</t>
    <phoneticPr fontId="1" type="noConversion"/>
  </si>
  <si>
    <t>まっか</t>
  </si>
  <si>
    <t>鲜红的</t>
  </si>
  <si>
    <t>真っ黒</t>
    <phoneticPr fontId="1" type="noConversion"/>
  </si>
  <si>
    <t>まっくろ</t>
  </si>
  <si>
    <t>漆黑的</t>
  </si>
  <si>
    <t>まっさお</t>
  </si>
  <si>
    <t>深蓝的</t>
  </si>
  <si>
    <t>真っ白</t>
    <phoneticPr fontId="1" type="noConversion"/>
  </si>
  <si>
    <t>まっしろ</t>
  </si>
  <si>
    <t>纯白的</t>
  </si>
  <si>
    <t>眩しい</t>
    <phoneticPr fontId="1" type="noConversion"/>
  </si>
  <si>
    <t>まぶしい</t>
  </si>
  <si>
    <t>耀眼的</t>
  </si>
  <si>
    <t>満足</t>
    <phoneticPr fontId="1" type="noConversion"/>
  </si>
  <si>
    <t>まんぞく</t>
  </si>
  <si>
    <t>满足的</t>
  </si>
  <si>
    <t>惨め</t>
    <phoneticPr fontId="1" type="noConversion"/>
  </si>
  <si>
    <t>みじめ</t>
  </si>
  <si>
    <t>可悲的</t>
  </si>
  <si>
    <t>醜い</t>
    <phoneticPr fontId="1" type="noConversion"/>
  </si>
  <si>
    <t>みにくい</t>
  </si>
  <si>
    <t>丑陋的</t>
  </si>
  <si>
    <t>無関心</t>
    <phoneticPr fontId="1" type="noConversion"/>
  </si>
  <si>
    <t>むかんしん</t>
  </si>
  <si>
    <t>漠不关心的</t>
  </si>
  <si>
    <t>無責任</t>
    <phoneticPr fontId="1" type="noConversion"/>
  </si>
  <si>
    <t>むせきにん</t>
  </si>
  <si>
    <t>不负责任的</t>
  </si>
  <si>
    <t>夢中</t>
    <phoneticPr fontId="1" type="noConversion"/>
  </si>
  <si>
    <t>むちゅう</t>
  </si>
  <si>
    <r>
      <t>梦中;</t>
    </r>
    <r>
      <rPr>
        <sz val="11"/>
        <color rgb="FFFF0000"/>
        <rFont val="等线"/>
        <family val="4"/>
        <charset val="134"/>
        <scheme val="minor"/>
      </rPr>
      <t>入迷,着迷</t>
    </r>
    <phoneticPr fontId="1" type="noConversion"/>
  </si>
  <si>
    <r>
      <t>映画に夢中になる。着迷于</t>
    </r>
    <r>
      <rPr>
        <sz val="11"/>
        <color theme="1"/>
        <rFont val="DengXian"/>
        <family val="2"/>
        <charset val="134"/>
      </rPr>
      <t>电影</t>
    </r>
    <phoneticPr fontId="1" type="noConversion"/>
  </si>
  <si>
    <t>めちゃくちゃ</t>
    <phoneticPr fontId="1" type="noConversion"/>
  </si>
  <si>
    <t>胡说八道；乱七八糟</t>
    <phoneticPr fontId="1" type="noConversion"/>
  </si>
  <si>
    <r>
      <t>めちゃくちゃなことを言う。</t>
    </r>
    <r>
      <rPr>
        <sz val="11"/>
        <color theme="1"/>
        <rFont val="DengXian"/>
        <family val="2"/>
        <charset val="134"/>
      </rPr>
      <t>胡说八道</t>
    </r>
    <phoneticPr fontId="1" type="noConversion"/>
  </si>
  <si>
    <t>風で書類がめちゃくちゃだ。文件被风吹得乱七八糟的</t>
    <phoneticPr fontId="1" type="noConversion"/>
  </si>
  <si>
    <t>めでたい</t>
    <phoneticPr fontId="1" type="noConversion"/>
  </si>
  <si>
    <t>めでたい</t>
  </si>
  <si>
    <r>
      <t>值得祝贺的，可喜可贺的；</t>
    </r>
    <r>
      <rPr>
        <sz val="11"/>
        <color rgb="FFFF0000"/>
        <rFont val="等线"/>
        <family val="4"/>
        <charset val="134"/>
        <scheme val="minor"/>
      </rPr>
      <t>顺利，圆满</t>
    </r>
    <phoneticPr fontId="1" type="noConversion"/>
  </si>
  <si>
    <t>ご結婚とは、めでたいことですね。 恭喜您结婚，真是可喜可贺的事呢。</t>
    <phoneticPr fontId="1" type="noConversion"/>
  </si>
  <si>
    <t>子どもが生まれたなんて、めでたいなあ。 孩子出生了，真是值得庆祝啊。</t>
    <phoneticPr fontId="1" type="noConversion"/>
  </si>
  <si>
    <t>今日はめでたい日だから、お祝いしよう。 今天是个喜庆的日子，一起庆祝吧。</t>
    <phoneticPr fontId="1" type="noConversion"/>
  </si>
  <si>
    <t>そんな嘘を信じるなんて、お前はめでたい奴だな。 连那种谎话都信，你真是个傻乐的人啊。</t>
    <phoneticPr fontId="1" type="noConversion"/>
  </si>
  <si>
    <t>めでたい話	值得庆祝的好消息
めでたい日	可喜可贺的日子
めでたい結婚	可喜的婚礼
めでたく結婚する	顺利结婚</t>
    <phoneticPr fontId="1" type="noConversion"/>
  </si>
  <si>
    <t>昇進とはめでたいですね。 升职了，真值得祝贺。</t>
    <phoneticPr fontId="1" type="noConversion"/>
  </si>
  <si>
    <t>面倒</t>
    <phoneticPr fontId="1" type="noConversion"/>
  </si>
  <si>
    <t>めんどう</t>
  </si>
  <si>
    <t>麻烦的</t>
  </si>
  <si>
    <t>面倒くさい</t>
    <phoneticPr fontId="1" type="noConversion"/>
  </si>
  <si>
    <t>めんどうくさい</t>
  </si>
  <si>
    <t>申し訳ない</t>
    <phoneticPr fontId="1" type="noConversion"/>
  </si>
  <si>
    <t>もうしわけない</t>
  </si>
  <si>
    <t>抱歉的</t>
  </si>
  <si>
    <t>もったいない</t>
    <phoneticPr fontId="1" type="noConversion"/>
  </si>
  <si>
    <t>もったいない</t>
  </si>
  <si>
    <t>物凄い</t>
    <phoneticPr fontId="1" type="noConversion"/>
  </si>
  <si>
    <t>ものすごい</t>
  </si>
  <si>
    <r>
      <t>惊人的、非常厉害的（表示程度极高）</t>
    </r>
    <r>
      <rPr>
        <sz val="11"/>
        <color theme="1"/>
        <rFont val="游ゴシック"/>
        <family val="2"/>
        <charset val="128"/>
      </rPr>
      <t>;</t>
    </r>
    <r>
      <rPr>
        <sz val="11"/>
        <color theme="1"/>
        <rFont val="等线"/>
        <family val="2"/>
        <scheme val="minor"/>
      </rPr>
      <t>可怕的、骇人的（带有恐怖、强烈冲击的感觉）</t>
    </r>
    <phoneticPr fontId="1" type="noConversion"/>
  </si>
  <si>
    <t xml:space="preserve">彼の演奏は物凄かった。 他的演奏惊为天人。
</t>
    <phoneticPr fontId="1" type="noConversion"/>
  </si>
  <si>
    <t>昨日の台風は物凄い風だった。 昨天的台风风力非常猛烈。</t>
    <phoneticPr fontId="1" type="noConversion"/>
  </si>
  <si>
    <t>彼女は物凄い美人だ。 她是个超级大美女。</t>
    <phoneticPr fontId="1" type="noConversion"/>
  </si>
  <si>
    <t>地面が物凄い音を立てて揺れた。 地面发出巨响并剧烈晃动。</t>
    <phoneticPr fontId="1" type="noConversion"/>
  </si>
  <si>
    <t>程度极高、厉害。表示“非常～”、“特别～”	物凄いスピードで走る。 以惊人的速度奔跑。
数量多、范围广。表示“极大”、“惊人”	会場には物凄い人が集まっていた。 会场里聚集了很多人。
冲击力强、可怕。令人震撼、恐怖、压倒性	物凄い音がした。 发出了可怕的声音。</t>
    <phoneticPr fontId="1" type="noConversion"/>
  </si>
  <si>
    <t>柔らか/軟らか</t>
    <phoneticPr fontId="1" type="noConversion"/>
  </si>
  <si>
    <t>やわらか/やわらか</t>
  </si>
  <si>
    <t>柔软的</t>
  </si>
  <si>
    <t>有効</t>
    <phoneticPr fontId="1" type="noConversion"/>
  </si>
  <si>
    <t>ゆうこう</t>
  </si>
  <si>
    <t>有效的</t>
  </si>
  <si>
    <t>優秀</t>
    <phoneticPr fontId="1" type="noConversion"/>
  </si>
  <si>
    <t>ゆうしゅう</t>
  </si>
  <si>
    <t>优秀的</t>
  </si>
  <si>
    <t>愉快</t>
    <phoneticPr fontId="1" type="noConversion"/>
  </si>
  <si>
    <t>ゆかい</t>
  </si>
  <si>
    <t>愉快的</t>
  </si>
  <si>
    <r>
      <rPr>
        <sz val="11"/>
        <color rgb="FFFF0000"/>
        <rFont val="游ゴシック"/>
        <family val="3"/>
        <charset val="128"/>
      </rPr>
      <t>豊</t>
    </r>
    <r>
      <rPr>
        <sz val="11"/>
        <color theme="1"/>
        <rFont val="游ゴシック"/>
        <family val="2"/>
        <charset val="128"/>
      </rPr>
      <t>か</t>
    </r>
    <phoneticPr fontId="1" type="noConversion"/>
  </si>
  <si>
    <r>
      <rPr>
        <sz val="11"/>
        <color rgb="FFFF0000"/>
        <rFont val="等线"/>
        <family val="4"/>
        <charset val="134"/>
        <scheme val="minor"/>
      </rPr>
      <t>ゆた</t>
    </r>
    <r>
      <rPr>
        <sz val="11"/>
        <color theme="1"/>
        <rFont val="等线"/>
        <family val="2"/>
        <scheme val="minor"/>
      </rPr>
      <t>か</t>
    </r>
    <phoneticPr fontId="1" type="noConversion"/>
  </si>
  <si>
    <t>富裕的</t>
  </si>
  <si>
    <r>
      <t>貧乏（びんぼう）</t>
    </r>
    <r>
      <rPr>
        <sz val="11"/>
        <color theme="1"/>
        <rFont val="DengXian"/>
        <family val="2"/>
        <charset val="134"/>
      </rPr>
      <t>贫穷</t>
    </r>
    <phoneticPr fontId="1" type="noConversion"/>
  </si>
  <si>
    <t>豊かに暮らす。生活富裕</t>
    <phoneticPr fontId="1" type="noConversion"/>
  </si>
  <si>
    <r>
      <rPr>
        <sz val="11"/>
        <color rgb="FFFF0000"/>
        <rFont val="游ゴシック"/>
        <family val="3"/>
        <charset val="128"/>
      </rPr>
      <t>緩</t>
    </r>
    <r>
      <rPr>
        <sz val="11"/>
        <color theme="1"/>
        <rFont val="游ゴシック"/>
        <family val="2"/>
        <charset val="128"/>
      </rPr>
      <t>い</t>
    </r>
    <phoneticPr fontId="1" type="noConversion"/>
  </si>
  <si>
    <r>
      <rPr>
        <sz val="11"/>
        <color rgb="FFFF0000"/>
        <rFont val="等线"/>
        <family val="4"/>
        <charset val="134"/>
        <scheme val="minor"/>
      </rPr>
      <t>ゆる</t>
    </r>
    <r>
      <rPr>
        <sz val="11"/>
        <color theme="1"/>
        <rFont val="等线"/>
        <family val="2"/>
        <scheme val="minor"/>
      </rPr>
      <t>い</t>
    </r>
    <phoneticPr fontId="1" type="noConversion"/>
  </si>
  <si>
    <t>松，肥大的；（纪律）不严，宽松的</t>
    <phoneticPr fontId="1" type="noConversion"/>
  </si>
  <si>
    <r>
      <t>ズボンが緩い。</t>
    </r>
    <r>
      <rPr>
        <sz val="11"/>
        <color theme="1"/>
        <rFont val="DengXian"/>
        <family val="2"/>
        <charset val="134"/>
      </rPr>
      <t>裤子肥大</t>
    </r>
    <phoneticPr fontId="1" type="noConversion"/>
  </si>
  <si>
    <r>
      <t>規律が緩い。</t>
    </r>
    <r>
      <rPr>
        <sz val="11"/>
        <color theme="1"/>
        <rFont val="DengXian"/>
        <family val="2"/>
        <charset val="134"/>
      </rPr>
      <t>纪律不严</t>
    </r>
    <phoneticPr fontId="1" type="noConversion"/>
  </si>
  <si>
    <t>欲張り</t>
    <phoneticPr fontId="1" type="noConversion"/>
  </si>
  <si>
    <t>よくばり</t>
  </si>
  <si>
    <t>贪得无厌的，贪婪的</t>
    <phoneticPr fontId="1" type="noConversion"/>
  </si>
  <si>
    <t>欲張りな人。贪得无厌的人</t>
    <phoneticPr fontId="1" type="noConversion"/>
  </si>
  <si>
    <t>予想外</t>
    <phoneticPr fontId="1" type="noConversion"/>
  </si>
  <si>
    <t>よそうがい</t>
  </si>
  <si>
    <t>予想外の大成功。出乎意料的巨大成功</t>
    <phoneticPr fontId="1" type="noConversion"/>
  </si>
  <si>
    <t>喜ばしい</t>
    <phoneticPr fontId="1" type="noConversion"/>
  </si>
  <si>
    <t>よろこばしい</t>
  </si>
  <si>
    <t>令人高兴的</t>
    <phoneticPr fontId="1" type="noConversion"/>
  </si>
  <si>
    <r>
      <t>喜ばしいニュ-ス。令人</t>
    </r>
    <r>
      <rPr>
        <sz val="11"/>
        <color theme="1"/>
        <rFont val="DengXian"/>
        <family val="2"/>
        <charset val="134"/>
      </rPr>
      <t>高兴的消息</t>
    </r>
    <phoneticPr fontId="1" type="noConversion"/>
  </si>
  <si>
    <t>楽</t>
    <phoneticPr fontId="1" type="noConversion"/>
  </si>
  <si>
    <t>らく</t>
  </si>
  <si>
    <t>轻松的</t>
  </si>
  <si>
    <r>
      <t>楽な仕事。</t>
    </r>
    <r>
      <rPr>
        <sz val="11"/>
        <color theme="1"/>
        <rFont val="DengXian"/>
        <family val="2"/>
        <charset val="134"/>
      </rPr>
      <t>轻松的活</t>
    </r>
    <phoneticPr fontId="1" type="noConversion"/>
  </si>
  <si>
    <t>利口</t>
    <phoneticPr fontId="1" type="noConversion"/>
  </si>
  <si>
    <t>りこう</t>
  </si>
  <si>
    <t>聪明伶俐的</t>
    <phoneticPr fontId="1" type="noConversion"/>
  </si>
  <si>
    <t>利口な子供。聪明伶俐的孩子</t>
    <phoneticPr fontId="1" type="noConversion"/>
  </si>
  <si>
    <t>わがまま</t>
    <phoneticPr fontId="1" type="noConversion"/>
  </si>
  <si>
    <t>任性，放肆</t>
    <phoneticPr fontId="1" type="noConversion"/>
  </si>
  <si>
    <t>わがままに振る舞う。任性</t>
    <phoneticPr fontId="1" type="noConversion"/>
  </si>
  <si>
    <t>振る舞う　行为，举止</t>
    <phoneticPr fontId="1" type="noConversion"/>
  </si>
  <si>
    <t>宛先</t>
    <phoneticPr fontId="1" type="noConversion"/>
  </si>
  <si>
    <t>寄往，送往</t>
    <phoneticPr fontId="1" type="noConversion"/>
  </si>
  <si>
    <t>合わせ</t>
    <phoneticPr fontId="1" type="noConversion"/>
  </si>
  <si>
    <t>表互相配合</t>
    <phoneticPr fontId="1" type="noConversion"/>
  </si>
  <si>
    <t>色合わせ（配色）。</t>
    <phoneticPr fontId="1" type="noConversion"/>
  </si>
  <si>
    <t>表示相互性或对抗性</t>
  </si>
  <si>
    <t>打ち合わせ</t>
    <phoneticPr fontId="1" type="noConversion"/>
  </si>
  <si>
    <t>商量、会议</t>
  </si>
  <si>
    <t>手合わせ</t>
  </si>
  <si>
    <t>比试</t>
  </si>
  <si>
    <t>おき</t>
    <phoneticPr fontId="1" type="noConversion"/>
  </si>
  <si>
    <r>
      <t>5</t>
    </r>
    <r>
      <rPr>
        <sz val="11"/>
        <color theme="1"/>
        <rFont val="游ゴシック"/>
        <family val="2"/>
        <charset val="128"/>
      </rPr>
      <t>メートおき</t>
    </r>
    <phoneticPr fontId="1" type="noConversion"/>
  </si>
  <si>
    <t>每隔</t>
    <phoneticPr fontId="1" type="noConversion"/>
  </si>
  <si>
    <t>難い</t>
  </si>
  <si>
    <t>がたい</t>
  </si>
  <si>
    <t>信じ難い、許し難い</t>
  </si>
  <si>
    <t>柄</t>
  </si>
  <si>
    <t>がら</t>
  </si>
  <si>
    <t>花柄、人柄</t>
  </si>
  <si>
    <t>刊</t>
  </si>
  <si>
    <t>かん</t>
  </si>
  <si>
    <t>週刊、創刊</t>
  </si>
  <si>
    <t>間</t>
  </si>
  <si>
    <t>ま</t>
  </si>
  <si>
    <t>間が悪い、すき間</t>
  </si>
  <si>
    <t>気味</t>
  </si>
  <si>
    <t>ぎみ</t>
  </si>
  <si>
    <t>風邪気味、疲れ気味</t>
  </si>
  <si>
    <t>級</t>
  </si>
  <si>
    <t>きゅう</t>
  </si>
  <si>
    <t>高級、初級</t>
  </si>
  <si>
    <t>強</t>
  </si>
  <si>
    <t>きょう</t>
  </si>
  <si>
    <t>強力、強気</t>
  </si>
  <si>
    <t>弱</t>
  </si>
  <si>
    <t>じゃく</t>
  </si>
  <si>
    <t>弱者、弱点</t>
  </si>
  <si>
    <t>くさい</t>
  </si>
  <si>
    <t>怪しいくさい、生臭い</t>
  </si>
  <si>
    <t>家</t>
  </si>
  <si>
    <t>け</t>
  </si>
  <si>
    <t>農家、作家</t>
  </si>
  <si>
    <t>計</t>
  </si>
  <si>
    <t>けい</t>
  </si>
  <si>
    <t>設計、計画</t>
  </si>
  <si>
    <t>形</t>
  </si>
  <si>
    <t>人形、形状</t>
  </si>
  <si>
    <t>券</t>
  </si>
  <si>
    <t>けん</t>
  </si>
  <si>
    <t>入場券、切符券</t>
  </si>
  <si>
    <t>権</t>
  </si>
  <si>
    <t>権利、政権</t>
  </si>
  <si>
    <t>後</t>
  </si>
  <si>
    <t>ご</t>
  </si>
  <si>
    <t>以後、後日</t>
  </si>
  <si>
    <t>港</t>
  </si>
  <si>
    <t>こう</t>
  </si>
  <si>
    <t>空港、港町</t>
  </si>
  <si>
    <t>ごっこ</t>
  </si>
  <si>
    <t>鬼ごっこ、医者ごっこ</t>
  </si>
  <si>
    <t>ごと</t>
  </si>
  <si>
    <t>事ごと、週ごと</t>
  </si>
  <si>
    <t>祭</t>
  </si>
  <si>
    <t>さい</t>
  </si>
  <si>
    <t>文化祭、夏祭り</t>
  </si>
  <si>
    <t>盛り</t>
  </si>
  <si>
    <t>ざかり</t>
  </si>
  <si>
    <t>花盛り、食べ盛り</t>
  </si>
  <si>
    <t>触り</t>
  </si>
  <si>
    <t>さわり</t>
  </si>
  <si>
    <t>触り心地、触り具合</t>
  </si>
  <si>
    <t>式</t>
  </si>
  <si>
    <t>しき</t>
  </si>
  <si>
    <t>結婚式、卒業式</t>
  </si>
  <si>
    <t>質</t>
  </si>
  <si>
    <t>しつ</t>
  </si>
  <si>
    <t>質問、質感</t>
  </si>
  <si>
    <t>種</t>
  </si>
  <si>
    <t>しゅ</t>
  </si>
  <si>
    <t>種類、品種</t>
  </si>
  <si>
    <t>酒</t>
  </si>
  <si>
    <t>日本酒、酒造</t>
  </si>
  <si>
    <t>州</t>
  </si>
  <si>
    <t>しゅう</t>
  </si>
  <si>
    <t>州知事、九州</t>
  </si>
  <si>
    <t>集</t>
  </si>
  <si>
    <t>集合、編集</t>
  </si>
  <si>
    <t>署</t>
  </si>
  <si>
    <t>しょ</t>
  </si>
  <si>
    <t>警察署、署名</t>
  </si>
  <si>
    <t>章</t>
  </si>
  <si>
    <t>しょう</t>
  </si>
  <si>
    <t>章節、勲章</t>
  </si>
  <si>
    <t>賞</t>
  </si>
  <si>
    <t>賞金、受賞</t>
  </si>
  <si>
    <t>勝</t>
  </si>
  <si>
    <t>勝利、優勝</t>
  </si>
  <si>
    <t>状</t>
  </si>
  <si>
    <t>じょう</t>
  </si>
  <si>
    <t>状態、賞状</t>
  </si>
  <si>
    <t>色</t>
  </si>
  <si>
    <t>しょく</t>
  </si>
  <si>
    <t>色彩、特色</t>
  </si>
  <si>
    <t>知らず</t>
  </si>
  <si>
    <t>しらず</t>
  </si>
  <si>
    <t>知らず知らず、他人知らず</t>
  </si>
  <si>
    <t>人</t>
  </si>
  <si>
    <t>じん</t>
  </si>
  <si>
    <t>日本人、外国人</t>
  </si>
  <si>
    <t>筋</t>
  </si>
  <si>
    <t>すじ</t>
  </si>
  <si>
    <t>筋肉、筋道</t>
  </si>
  <si>
    <t>済み</t>
  </si>
  <si>
    <t>ずみ</t>
  </si>
  <si>
    <t>解決済み</t>
  </si>
  <si>
    <t>制</t>
  </si>
  <si>
    <t>せい</t>
  </si>
  <si>
    <t>共和制、議会制</t>
  </si>
  <si>
    <t>隻</t>
  </si>
  <si>
    <t>せき</t>
  </si>
  <si>
    <t>一隻</t>
  </si>
  <si>
    <t>船</t>
  </si>
  <si>
    <t>せん</t>
  </si>
  <si>
    <t>宇宙船</t>
  </si>
  <si>
    <t>戦</t>
  </si>
  <si>
    <t>持久戦</t>
  </si>
  <si>
    <t>前</t>
  </si>
  <si>
    <t>ぜん</t>
  </si>
  <si>
    <t>紀元前</t>
  </si>
  <si>
    <t>沿い</t>
  </si>
  <si>
    <t>ぞい</t>
  </si>
  <si>
    <t>川沿い</t>
  </si>
  <si>
    <t>総</t>
  </si>
  <si>
    <t>そう</t>
  </si>
  <si>
    <t>総収入</t>
  </si>
  <si>
    <t>艘</t>
  </si>
  <si>
    <t>1艘</t>
  </si>
  <si>
    <t>足</t>
  </si>
  <si>
    <t>そく</t>
  </si>
  <si>
    <t>靴１足</t>
  </si>
  <si>
    <t>揃い</t>
  </si>
  <si>
    <t>ぞろい</t>
  </si>
  <si>
    <t>力作揃い</t>
  </si>
  <si>
    <t>帯</t>
  </si>
  <si>
    <t>たい</t>
  </si>
  <si>
    <t>時間帯</t>
  </si>
  <si>
    <t>明くる</t>
    <phoneticPr fontId="1" type="noConversion"/>
  </si>
  <si>
    <t>あくる</t>
    <phoneticPr fontId="1" type="noConversion"/>
  </si>
  <si>
    <t>下一个</t>
    <phoneticPr fontId="1" type="noConversion"/>
  </si>
  <si>
    <t>明くる年。明年</t>
    <phoneticPr fontId="1" type="noConversion"/>
  </si>
  <si>
    <r>
      <t>あくる日。</t>
    </r>
    <r>
      <rPr>
        <sz val="11"/>
        <color theme="1"/>
        <rFont val="DengXian"/>
        <family val="2"/>
        <charset val="134"/>
      </rPr>
      <t>明天</t>
    </r>
    <phoneticPr fontId="1" type="noConversion"/>
  </si>
  <si>
    <t>あらゆる</t>
    <phoneticPr fontId="1" type="noConversion"/>
  </si>
  <si>
    <t>所有的，一切的</t>
    <phoneticPr fontId="1" type="noConversion"/>
  </si>
  <si>
    <t>あらゆる所。所有的地方</t>
    <phoneticPr fontId="1" type="noConversion"/>
  </si>
  <si>
    <t>上</t>
  </si>
  <si>
    <t>下</t>
  </si>
  <si>
    <t>仮</t>
  </si>
  <si>
    <t>旧</t>
  </si>
  <si>
    <t>現</t>
  </si>
  <si>
    <t>合</t>
  </si>
  <si>
    <t>昨</t>
  </si>
  <si>
    <t>重</t>
  </si>
  <si>
    <t>諸</t>
  </si>
  <si>
    <t>助</t>
  </si>
  <si>
    <t>数</t>
  </si>
  <si>
    <t>多</t>
  </si>
  <si>
    <t>浅い</t>
    <phoneticPr fontId="1" type="noConversion"/>
  </si>
  <si>
    <t>あさい</t>
    <phoneticPr fontId="1" type="noConversion"/>
  </si>
  <si>
    <t>浅的</t>
    <phoneticPr fontId="1" type="noConversion"/>
  </si>
  <si>
    <t>温かい</t>
    <phoneticPr fontId="1" type="noConversion"/>
  </si>
  <si>
    <t>あたたかい</t>
    <phoneticPr fontId="1" type="noConversion"/>
  </si>
  <si>
    <t>暖和的</t>
    <phoneticPr fontId="1" type="noConversion"/>
  </si>
  <si>
    <t>厚い</t>
    <phoneticPr fontId="1" type="noConversion"/>
  </si>
  <si>
    <t>あつい</t>
    <phoneticPr fontId="1" type="noConversion"/>
  </si>
  <si>
    <t>厚的</t>
    <phoneticPr fontId="1" type="noConversion"/>
  </si>
  <si>
    <t>うすい</t>
    <phoneticPr fontId="1" type="noConversion"/>
  </si>
  <si>
    <t>暑い</t>
    <phoneticPr fontId="1" type="noConversion"/>
  </si>
  <si>
    <t>熱い</t>
    <phoneticPr fontId="1" type="noConversion"/>
  </si>
  <si>
    <t>寒い</t>
    <phoneticPr fontId="1" type="noConversion"/>
  </si>
  <si>
    <t>さむい</t>
    <phoneticPr fontId="1" type="noConversion"/>
  </si>
  <si>
    <t>あのよう</t>
    <phoneticPr fontId="1" type="noConversion"/>
  </si>
  <si>
    <t>那样的</t>
    <phoneticPr fontId="1" type="noConversion"/>
  </si>
  <si>
    <t>このよう</t>
    <phoneticPr fontId="1" type="noConversion"/>
  </si>
  <si>
    <t>这样的</t>
    <phoneticPr fontId="1" type="noConversion"/>
  </si>
  <si>
    <t>そのよう</t>
    <phoneticPr fontId="1" type="noConversion"/>
  </si>
  <si>
    <t>淡い</t>
    <phoneticPr fontId="1" type="noConversion"/>
  </si>
  <si>
    <t>あわい</t>
    <phoneticPr fontId="1" type="noConversion"/>
  </si>
  <si>
    <t>淡的</t>
    <phoneticPr fontId="1" type="noConversion"/>
  </si>
  <si>
    <t>こい</t>
    <phoneticPr fontId="1" type="noConversion"/>
  </si>
  <si>
    <t>浓的</t>
    <phoneticPr fontId="1" type="noConversion"/>
  </si>
  <si>
    <t>安心</t>
    <phoneticPr fontId="1" type="noConversion"/>
  </si>
  <si>
    <t>あんしん</t>
    <phoneticPr fontId="1" type="noConversion"/>
  </si>
  <si>
    <t>ふあん</t>
    <phoneticPr fontId="1" type="noConversion"/>
  </si>
  <si>
    <t>危ない</t>
    <phoneticPr fontId="1" type="noConversion"/>
  </si>
  <si>
    <t>あぶない</t>
    <phoneticPr fontId="1" type="noConversion"/>
  </si>
  <si>
    <t>安い</t>
    <phoneticPr fontId="1" type="noConversion"/>
  </si>
  <si>
    <t>やすい</t>
    <phoneticPr fontId="1" type="noConversion"/>
  </si>
  <si>
    <t>一生懸命</t>
    <phoneticPr fontId="1" type="noConversion"/>
  </si>
  <si>
    <t>いっしょうけんめい</t>
    <phoneticPr fontId="1" type="noConversion"/>
  </si>
  <si>
    <t>拼命，努力</t>
    <phoneticPr fontId="1" type="noConversion"/>
  </si>
  <si>
    <t>必要</t>
    <phoneticPr fontId="1" type="noConversion"/>
  </si>
  <si>
    <t>本当</t>
    <phoneticPr fontId="1" type="noConversion"/>
  </si>
  <si>
    <t>ほんとう</t>
    <phoneticPr fontId="1" type="noConversion"/>
  </si>
  <si>
    <t>美しい</t>
    <phoneticPr fontId="1" type="noConversion"/>
  </si>
  <si>
    <t>うつくしい</t>
    <phoneticPr fontId="1" type="noConversion"/>
  </si>
  <si>
    <t>みにくい</t>
    <phoneticPr fontId="1" type="noConversion"/>
  </si>
  <si>
    <t>きれい</t>
    <phoneticPr fontId="1" type="noConversion"/>
  </si>
  <si>
    <t>美味い</t>
    <phoneticPr fontId="1" type="noConversion"/>
  </si>
  <si>
    <t>うまい</t>
    <phoneticPr fontId="1" type="noConversion"/>
  </si>
  <si>
    <r>
      <t>美味的；擅长、巧妙</t>
    </r>
    <r>
      <rPr>
        <sz val="11"/>
        <color theme="1"/>
        <rFont val="游ゴシック"/>
        <family val="2"/>
        <charset val="128"/>
      </rPr>
      <t>；</t>
    </r>
    <r>
      <rPr>
        <sz val="11"/>
        <color rgb="FFFF0000"/>
        <rFont val="等线"/>
        <family val="4"/>
        <charset val="134"/>
        <scheme val="minor"/>
      </rPr>
      <t>进展顺利的</t>
    </r>
    <phoneticPr fontId="1" type="noConversion"/>
  </si>
  <si>
    <t>彼はサッカーがうまい。 他很擅长踢足球。</t>
    <phoneticPr fontId="1" type="noConversion"/>
  </si>
  <si>
    <t>彼女は話し方がうまいので、すぐにみんなの注目を集める。 她讲话很有技巧，所以很快就吸引了大家的注意。</t>
    <phoneticPr fontId="1" type="noConversion"/>
  </si>
  <si>
    <t>日本語がうまい。日语说得很好</t>
    <phoneticPr fontId="1" type="noConversion"/>
  </si>
  <si>
    <r>
      <rPr>
        <sz val="11"/>
        <color rgb="FFFF0000"/>
        <rFont val="游ゴシック"/>
        <family val="2"/>
        <charset val="128"/>
      </rPr>
      <t>うまく行ければ、明日までに完成できる。</t>
    </r>
    <r>
      <rPr>
        <sz val="11"/>
        <color rgb="FFFF0000"/>
        <rFont val="等线"/>
        <family val="2"/>
        <charset val="134"/>
      </rPr>
      <t>进行顺利的话，明天就能完成</t>
    </r>
    <phoneticPr fontId="1" type="noConversion"/>
  </si>
  <si>
    <t>羨ましい</t>
    <phoneticPr fontId="1" type="noConversion"/>
  </si>
  <si>
    <t>うらやましい</t>
    <phoneticPr fontId="1" type="noConversion"/>
  </si>
  <si>
    <t>嬉しい</t>
    <phoneticPr fontId="1" type="noConversion"/>
  </si>
  <si>
    <t>うれしい</t>
    <phoneticPr fontId="1" type="noConversion"/>
  </si>
  <si>
    <t>悲しい　かなしい</t>
    <phoneticPr fontId="1" type="noConversion"/>
  </si>
  <si>
    <t>えらい</t>
    <phoneticPr fontId="1" type="noConversion"/>
  </si>
  <si>
    <t>いだい</t>
    <phoneticPr fontId="1" type="noConversion"/>
  </si>
  <si>
    <t>おおがた</t>
    <phoneticPr fontId="1" type="noConversion"/>
  </si>
  <si>
    <t>こがた</t>
    <phoneticPr fontId="1" type="noConversion"/>
  </si>
  <si>
    <t>大げさ</t>
    <phoneticPr fontId="1" type="noConversion"/>
  </si>
  <si>
    <t>大幅</t>
    <phoneticPr fontId="1" type="noConversion"/>
  </si>
  <si>
    <t>おおはば</t>
    <phoneticPr fontId="1" type="noConversion"/>
  </si>
  <si>
    <t>小幅</t>
    <phoneticPr fontId="1" type="noConversion"/>
  </si>
  <si>
    <t>こはば</t>
    <phoneticPr fontId="1" type="noConversion"/>
  </si>
  <si>
    <t>おかしい</t>
    <phoneticPr fontId="1" type="noConversion"/>
  </si>
  <si>
    <t>遅い</t>
    <phoneticPr fontId="1" type="noConversion"/>
  </si>
  <si>
    <t>おそい</t>
    <phoneticPr fontId="1" type="noConversion"/>
  </si>
  <si>
    <t>恐ろしい</t>
    <phoneticPr fontId="1" type="noConversion"/>
  </si>
  <si>
    <t>おそろしい</t>
    <phoneticPr fontId="1" type="noConversion"/>
  </si>
  <si>
    <t>主</t>
    <phoneticPr fontId="1" type="noConversion"/>
  </si>
  <si>
    <t>おも</t>
    <phoneticPr fontId="1" type="noConversion"/>
  </si>
  <si>
    <t>おもたい</t>
    <phoneticPr fontId="1" type="noConversion"/>
  </si>
  <si>
    <t>沉重</t>
    <phoneticPr fontId="1" type="noConversion"/>
  </si>
  <si>
    <t>「重い」的口语强调形式</t>
    <phoneticPr fontId="1" type="noConversion"/>
  </si>
  <si>
    <t>荷物が重たい	行李很重
気持ちが重たい	心情很沉重
空気が重たい	氛围沉闷
足取りが重たい	步伐沉重
重たい話題	沉重的话题</t>
    <phoneticPr fontId="1" type="noConversion"/>
  </si>
  <si>
    <t>重い</t>
    <phoneticPr fontId="1" type="noConversion"/>
  </si>
  <si>
    <t>おもい</t>
    <phoneticPr fontId="1" type="noConversion"/>
  </si>
  <si>
    <t>固い</t>
    <phoneticPr fontId="1" type="noConversion"/>
  </si>
  <si>
    <t>かたい</t>
    <phoneticPr fontId="1" type="noConversion"/>
  </si>
  <si>
    <t>堅い</t>
    <phoneticPr fontId="1" type="noConversion"/>
  </si>
  <si>
    <t>硬い</t>
    <phoneticPr fontId="1" type="noConversion"/>
  </si>
  <si>
    <t>悲しい</t>
    <phoneticPr fontId="1" type="noConversion"/>
  </si>
  <si>
    <t>かなしい</t>
    <phoneticPr fontId="1" type="noConversion"/>
  </si>
  <si>
    <t>かわいそう</t>
    <phoneticPr fontId="1" type="noConversion"/>
  </si>
  <si>
    <t>可愛い</t>
    <phoneticPr fontId="1" type="noConversion"/>
  </si>
  <si>
    <t>かわいい</t>
    <phoneticPr fontId="1" type="noConversion"/>
  </si>
  <si>
    <t>頑固</t>
    <phoneticPr fontId="1" type="noConversion"/>
  </si>
  <si>
    <t>がんこ</t>
    <phoneticPr fontId="1" type="noConversion"/>
  </si>
  <si>
    <t>感心</t>
    <phoneticPr fontId="1" type="noConversion"/>
  </si>
  <si>
    <t>かんしん</t>
    <phoneticPr fontId="1" type="noConversion"/>
  </si>
  <si>
    <t>簡単</t>
    <phoneticPr fontId="1" type="noConversion"/>
  </si>
  <si>
    <t>かんたん</t>
  </si>
  <si>
    <t>きけん</t>
    <phoneticPr fontId="1" type="noConversion"/>
  </si>
  <si>
    <t>厳しい</t>
    <phoneticPr fontId="1" type="noConversion"/>
  </si>
  <si>
    <t>きびしい</t>
    <phoneticPr fontId="1" type="noConversion"/>
  </si>
  <si>
    <t>優しい</t>
    <phoneticPr fontId="1" type="noConversion"/>
  </si>
  <si>
    <t>急</t>
    <phoneticPr fontId="1" type="noConversion"/>
  </si>
  <si>
    <t>臭い</t>
    <phoneticPr fontId="1" type="noConversion"/>
  </si>
  <si>
    <t>くさい</t>
    <phoneticPr fontId="1" type="noConversion"/>
  </si>
  <si>
    <t>详细的；细小的，零碎的</t>
    <phoneticPr fontId="1" type="noConversion"/>
  </si>
  <si>
    <r>
      <rPr>
        <sz val="11"/>
        <color theme="1"/>
        <rFont val="游ゴシック"/>
        <family val="2"/>
        <charset val="128"/>
      </rPr>
      <t>細かいお金。</t>
    </r>
    <r>
      <rPr>
        <sz val="11"/>
        <color theme="1"/>
        <rFont val="等线"/>
        <family val="2"/>
        <charset val="134"/>
      </rPr>
      <t>零钱</t>
    </r>
    <phoneticPr fontId="1" type="noConversion"/>
  </si>
  <si>
    <t>細かい説明。详细的说明</t>
    <phoneticPr fontId="1" type="noConversion"/>
  </si>
  <si>
    <t>怖い</t>
    <phoneticPr fontId="1" type="noConversion"/>
  </si>
  <si>
    <t>こわい</t>
    <phoneticPr fontId="1" type="noConversion"/>
  </si>
  <si>
    <t>兴盛、繁荣（活动或状态非常活跃）；频繁、热烈（某种行为或现象反复发生）；积极、热心（态度上表现得有活力）；旺盛（自然或身体的某种功能强）</t>
    <phoneticPr fontId="1" type="noConversion"/>
  </si>
  <si>
    <t>この町では農業が盛んだ。 这个城镇农业很发达。</t>
    <phoneticPr fontId="1" type="noConversion"/>
  </si>
  <si>
    <t>日本では高校野球が盛んに行われている。 在日本，高中棒球比赛非常盛行。</t>
    <phoneticPr fontId="1" type="noConversion"/>
  </si>
  <si>
    <t>若い頃は運動が盛んだった。 年轻时非常热衷于运动。</t>
    <phoneticPr fontId="1" type="noConversion"/>
  </si>
  <si>
    <t>春になると植物の成長が盛んになる。 一到春天植物就生长旺盛。</t>
    <phoneticPr fontId="1" type="noConversion"/>
  </si>
  <si>
    <t>商業が盛んだ	商业繁荣
スポーツが盛んだ	体育活动兴盛
交流が盛んだ	交流频繁
盛んな声援	热烈的助威声
食欲が盛んだ	食欲旺盛</t>
    <phoneticPr fontId="1" type="noConversion"/>
  </si>
  <si>
    <t>寂しい</t>
    <phoneticPr fontId="1" type="noConversion"/>
  </si>
  <si>
    <t>さびしい</t>
    <phoneticPr fontId="1" type="noConversion"/>
  </si>
  <si>
    <t>様々</t>
    <phoneticPr fontId="1" type="noConversion"/>
  </si>
  <si>
    <t>さまざま</t>
    <phoneticPr fontId="1" type="noConversion"/>
  </si>
  <si>
    <t>各种，各种各样</t>
    <phoneticPr fontId="1" type="noConversion"/>
  </si>
  <si>
    <t>様々な人	各种各样的人
様々な理由	各种理由
様々な問題	各种问题
様々な分野	各个领域</t>
    <phoneticPr fontId="1" type="noConversion"/>
  </si>
  <si>
    <t>さわやか</t>
    <phoneticPr fontId="1" type="noConversion"/>
  </si>
  <si>
    <t>清爽，爽朗，爽快</t>
    <phoneticPr fontId="1" type="noConversion"/>
  </si>
  <si>
    <t>爽やかな天気で気持ちがいい。 天气清爽，心情也很好。</t>
    <phoneticPr fontId="1" type="noConversion"/>
  </si>
  <si>
    <t>彼はいつも爽やかな笑顔を見せる。 他总是露出爽朗的笑容。</t>
  </si>
  <si>
    <t>爽やかな朝	清爽的早晨
爽やかな風	清新的风
爽やかな笑顔	清爽的笑容
爽やかな声	清爽的声音
爽やかな性格	爽快的性格</t>
    <phoneticPr fontId="1" type="noConversion"/>
  </si>
  <si>
    <t>ざんねん</t>
    <phoneticPr fontId="1" type="noConversion"/>
  </si>
  <si>
    <t>遗憾，可惜</t>
    <phoneticPr fontId="1" type="noConversion"/>
  </si>
  <si>
    <t>試合に負けたのは残念だった。 输了比赛真是太遗憾了。</t>
    <phoneticPr fontId="1" type="noConversion"/>
  </si>
  <si>
    <t>幸せ</t>
    <phoneticPr fontId="1" type="noConversion"/>
  </si>
  <si>
    <t>しあわせ</t>
    <phoneticPr fontId="1" type="noConversion"/>
  </si>
  <si>
    <t>四角</t>
    <phoneticPr fontId="1" type="noConversion"/>
  </si>
  <si>
    <t>しかく</t>
    <phoneticPr fontId="1" type="noConversion"/>
  </si>
  <si>
    <t>四角，方形</t>
    <phoneticPr fontId="1" type="noConversion"/>
  </si>
  <si>
    <t>四角い</t>
    <phoneticPr fontId="1" type="noConversion"/>
  </si>
  <si>
    <t>しかくい</t>
    <phoneticPr fontId="1" type="noConversion"/>
  </si>
  <si>
    <t>四角的，方形的</t>
    <phoneticPr fontId="1" type="noConversion"/>
  </si>
  <si>
    <t>円い</t>
    <phoneticPr fontId="1" type="noConversion"/>
  </si>
  <si>
    <t>まるい</t>
    <phoneticPr fontId="1" type="noConversion"/>
  </si>
  <si>
    <t>圆形的</t>
    <phoneticPr fontId="1" type="noConversion"/>
  </si>
  <si>
    <t>仕方ない</t>
    <phoneticPr fontId="1" type="noConversion"/>
  </si>
  <si>
    <t>しかたない</t>
    <phoneticPr fontId="1" type="noConversion"/>
  </si>
  <si>
    <r>
      <t>不得已，没办法；非常……（表示感情或状态强烈，常与「</t>
    </r>
    <r>
      <rPr>
        <sz val="11"/>
        <color theme="1"/>
        <rFont val="Microsoft YaHei UI"/>
        <family val="2"/>
        <charset val="134"/>
      </rPr>
      <t>〜て仕方がない」连用）</t>
    </r>
    <phoneticPr fontId="1" type="noConversion"/>
  </si>
  <si>
    <t>電車が止まったのは仕方ない。 电车停了也没办法了。</t>
    <phoneticPr fontId="1" type="noConversion"/>
  </si>
  <si>
    <t>雨なら仕方ない、中止にしよう。 下雨的话也没办法，只好取消。</t>
    <phoneticPr fontId="1" type="noConversion"/>
  </si>
  <si>
    <t>心配で仕方がない。 担心得不得了。</t>
    <phoneticPr fontId="1" type="noConversion"/>
  </si>
  <si>
    <t>彼女に会いたくて仕方がない。 非常想见她。</t>
    <phoneticPr fontId="1" type="noConversion"/>
  </si>
  <si>
    <t>それは仕方ない	那也是没办法的事
仕方ないからやるしかない	没办法，只能做了
会いたくて仕方がない	想见得不得了
悲しくて仕方がない	难过得不得了</t>
    <phoneticPr fontId="1" type="noConversion"/>
  </si>
  <si>
    <t>静か</t>
    <phoneticPr fontId="1" type="noConversion"/>
  </si>
  <si>
    <t>しずか</t>
    <phoneticPr fontId="1" type="noConversion"/>
  </si>
  <si>
    <t>安静，文静，静</t>
    <phoneticPr fontId="1" type="noConversion"/>
  </si>
  <si>
    <t xml:space="preserve">図書館では静かにしてください。 在图书馆请保持安静。
</t>
    <phoneticPr fontId="1" type="noConversion"/>
  </si>
  <si>
    <t>彼女は静かな人だ。 她是个文静的人。</t>
    <phoneticPr fontId="1" type="noConversion"/>
  </si>
  <si>
    <t>この村は夜になるととても静かだ。 这个村子一到晚上就非常安静。</t>
    <phoneticPr fontId="1" type="noConversion"/>
  </si>
  <si>
    <t>心を静かにして話を聞いてください。 请静下心来听我说。</t>
    <phoneticPr fontId="1" type="noConversion"/>
  </si>
  <si>
    <t>静かな場所	安静的地方
静かな性格	文静的性格
静かな夜	寂静的夜晚
静かな時間	安宁的时光
静かにする	保持安静</t>
    <phoneticPr fontId="1" type="noConversion"/>
  </si>
  <si>
    <t>賑やか</t>
    <phoneticPr fontId="1" type="noConversion"/>
  </si>
  <si>
    <t>にぎやか</t>
    <phoneticPr fontId="1" type="noConversion"/>
  </si>
  <si>
    <t>热闹、繁华（人多、声音大、气氛活跃）；活泼、有活力（也可形容人）</t>
    <phoneticPr fontId="1" type="noConversion"/>
  </si>
  <si>
    <t>この通りはいつも賑やかだ。 这条街总是很热闹。</t>
  </si>
  <si>
    <t>彼女は賑やかな性格で、誰とでも仲良くなれる。 她性格开朗，和谁都能合得来。</t>
  </si>
  <si>
    <t>お祭りの日は町がとても賑やかになる。 祭典那天城里非常热闹。</t>
  </si>
  <si>
    <t>子供たちの賑やかな声が庭に響いている。 孩子们热闹的声音在院子里回响。</t>
  </si>
  <si>
    <t>賑やかな通り	热闹的街道
賑やかな祭り	热闹的节日
賑やかな声	喧闹的声音
賑やかな人	活泼开朗的人（口语常用）</t>
    <phoneticPr fontId="1" type="noConversion"/>
  </si>
  <si>
    <t>自然</t>
    <phoneticPr fontId="1" type="noConversion"/>
  </si>
  <si>
    <t>しぜん</t>
    <phoneticPr fontId="1" type="noConversion"/>
  </si>
  <si>
    <t>親しい</t>
    <phoneticPr fontId="1" type="noConversion"/>
  </si>
  <si>
    <t>したしい</t>
    <phoneticPr fontId="1" type="noConversion"/>
  </si>
  <si>
    <t>亲近的，亲密的</t>
    <phoneticPr fontId="1" type="noConversion"/>
  </si>
  <si>
    <t>彼とは高校時代から親しい。 我和他从高中时代就很亲近。</t>
    <phoneticPr fontId="1" type="noConversion"/>
  </si>
  <si>
    <t>親しい友達にしか話さないこともある。 有些事只会告诉亲密的朋友。</t>
    <phoneticPr fontId="1" type="noConversion"/>
  </si>
  <si>
    <t>先生と親しくしている学生が多い。 和老师关系亲近的学生很多。</t>
    <phoneticPr fontId="1" type="noConversion"/>
  </si>
  <si>
    <t>彼女は親しみやすい性格だ。 她的性格让人容易亲近。</t>
    <phoneticPr fontId="1" type="noConversion"/>
  </si>
  <si>
    <t>失礼</t>
    <phoneticPr fontId="1" type="noConversion"/>
  </si>
  <si>
    <t>しつれい</t>
    <phoneticPr fontId="1" type="noConversion"/>
  </si>
  <si>
    <t>邪魔</t>
    <phoneticPr fontId="1" type="noConversion"/>
  </si>
  <si>
    <t>じゃま</t>
    <phoneticPr fontId="1" type="noConversion"/>
  </si>
  <si>
    <t>じゆ</t>
    <phoneticPr fontId="1" type="noConversion"/>
  </si>
  <si>
    <t>十分</t>
    <phoneticPr fontId="1" type="noConversion"/>
  </si>
  <si>
    <t>じゅうぶん</t>
    <phoneticPr fontId="1" type="noConversion"/>
  </si>
  <si>
    <t>充分、足够（数量或程度上满足需求）；十分，完全</t>
    <phoneticPr fontId="1" type="noConversion"/>
  </si>
  <si>
    <t>睡眠は十分にとったほうがいい。 睡眠最好充分一点。</t>
    <phoneticPr fontId="1" type="noConversion"/>
  </si>
  <si>
    <t>十分な準備をしてから出発しよう。 充分准备后再出发吧。</t>
    <phoneticPr fontId="1" type="noConversion"/>
  </si>
  <si>
    <t>君なら十分合格できる。 你完全可以合格。</t>
    <phoneticPr fontId="1" type="noConversion"/>
  </si>
  <si>
    <t>この量で十分だ。 这个量就足够了。</t>
    <phoneticPr fontId="1" type="noConversion"/>
  </si>
  <si>
    <t>十分な注意	充分的注意
十分に気をつける	十分小心
十分可能だ	完全有可能
十分な時間	足够的时间</t>
    <phoneticPr fontId="1" type="noConversion"/>
  </si>
  <si>
    <t>重要</t>
    <phoneticPr fontId="1" type="noConversion"/>
  </si>
  <si>
    <t>じゅうよう</t>
    <phoneticPr fontId="1" type="noConversion"/>
  </si>
  <si>
    <t>親切</t>
    <phoneticPr fontId="1" type="noConversion"/>
  </si>
  <si>
    <t>しんせつ</t>
    <phoneticPr fontId="1" type="noConversion"/>
  </si>
  <si>
    <t>彼はとても親切な人だ。 他是个非常亲切的人。</t>
  </si>
  <si>
    <t>店員が親切に説明してくれた。 店员亲切地给我说明了。</t>
  </si>
  <si>
    <t>親切に助けてくれてありがとう。 谢谢你亲切地帮助我。</t>
  </si>
  <si>
    <t>親切な人	亲切的人
親切に教える	亲切地教导</t>
    <phoneticPr fontId="1" type="noConversion"/>
  </si>
  <si>
    <t>心配をかける。担心</t>
  </si>
  <si>
    <t>凄い</t>
    <phoneticPr fontId="1" type="noConversion"/>
  </si>
  <si>
    <t>すごい</t>
  </si>
  <si>
    <t>大事</t>
    <phoneticPr fontId="1" type="noConversion"/>
  </si>
  <si>
    <t>だいじ</t>
    <phoneticPr fontId="1" type="noConversion"/>
  </si>
  <si>
    <t>重要、关键（事物的价值或意义重大）；珍贵、宝贵（对某物特别珍视）；认真、慎重（对待事情的态度严肃）</t>
    <phoneticPr fontId="1" type="noConversion"/>
  </si>
  <si>
    <t>お大事に。请保重</t>
    <phoneticPr fontId="1" type="noConversion"/>
  </si>
  <si>
    <t>健康は何より大事だ。 健康比什么都重要。</t>
    <phoneticPr fontId="1" type="noConversion"/>
  </si>
  <si>
    <t>この書類はとても大事なので、なくさないでください。 这份文件非常重要，请不要丢失。</t>
    <phoneticPr fontId="1" type="noConversion"/>
  </si>
  <si>
    <t>子供を大事に育てる。 珍惜并认真养育孩子。</t>
    <phoneticPr fontId="1" type="noConversion"/>
  </si>
  <si>
    <t>仕事のミスは大事に至らなかった。 工作失误没有造成严重后果。</t>
    <phoneticPr fontId="1" type="noConversion"/>
  </si>
  <si>
    <t>大事な仕事	重要的工作
大事にする	珍惜、重视
大事な人	重要的人
大事な約束	重要的约定</t>
    <phoneticPr fontId="1" type="noConversion"/>
  </si>
  <si>
    <t>大変</t>
    <phoneticPr fontId="1" type="noConversion"/>
  </si>
  <si>
    <t>たいへん</t>
    <phoneticPr fontId="1" type="noConversion"/>
  </si>
  <si>
    <t>大変暑い	非常热
大変な仕事	辛苦的工作
大変な事故	严重的事故
大変喜ぶ	非常高兴</t>
    <phoneticPr fontId="1" type="noConversion"/>
  </si>
  <si>
    <t>確実</t>
  </si>
  <si>
    <t>かくじつ</t>
  </si>
  <si>
    <t>确凿，确切，可靠（有把握、不会出错）；一定、必定（达到目标的可能性高）</t>
    <phoneticPr fontId="1" type="noConversion"/>
  </si>
  <si>
    <t>彼は確実な方法で問題を解決した。他用可靠的方法解决了问题。</t>
  </si>
  <si>
    <t>努力すれば、合格は確実だ。只要努力，合格是肯定的。</t>
  </si>
  <si>
    <t>彼の話は確実だ。 他说的话很可靠。</t>
    <phoneticPr fontId="1" type="noConversion"/>
  </si>
  <si>
    <t xml:space="preserve">確実に合格できるように頑張ります。 我要努力以确保合格。
</t>
    <phoneticPr fontId="1" type="noConversion"/>
  </si>
  <si>
    <t>確実な情報（确切的信息）
確実に成功する（一定成功）
確実な方法（可靠的方法）
確実に覚える（确实记住）
確実性が高い（可靠性高）</t>
  </si>
  <si>
    <t>正しい</t>
    <phoneticPr fontId="1" type="noConversion"/>
  </si>
  <si>
    <t>ただしい</t>
    <phoneticPr fontId="1" type="noConversion"/>
  </si>
  <si>
    <t>せいかく</t>
    <phoneticPr fontId="1" type="noConversion"/>
  </si>
  <si>
    <t>駄目</t>
    <phoneticPr fontId="1" type="noConversion"/>
  </si>
  <si>
    <t>だめ</t>
    <phoneticPr fontId="1" type="noConversion"/>
  </si>
  <si>
    <t>没用；不行</t>
    <phoneticPr fontId="1" type="noConversion"/>
  </si>
  <si>
    <t>そんなことをしては駄目だよ。 不能做那种事。</t>
  </si>
  <si>
    <t>この機械はもう駄目だ。 这台机器已经不行了。</t>
    <phoneticPr fontId="1" type="noConversion"/>
  </si>
  <si>
    <r>
      <t>彼を叱っても駄目だ。</t>
    </r>
    <r>
      <rPr>
        <sz val="11"/>
        <color theme="1"/>
        <rFont val="DengXian"/>
        <family val="2"/>
        <charset val="134"/>
      </rPr>
      <t>骂他也没用</t>
    </r>
    <phoneticPr fontId="1" type="noConversion"/>
  </si>
  <si>
    <r>
      <rPr>
        <sz val="11"/>
        <color theme="1"/>
        <rFont val="游ゴシック"/>
        <family val="2"/>
        <charset val="128"/>
      </rPr>
      <t>このペンが駄目になった。</t>
    </r>
    <r>
      <rPr>
        <sz val="11"/>
        <color theme="1"/>
        <rFont val="等线"/>
        <family val="2"/>
        <charset val="134"/>
      </rPr>
      <t>这只钢笔坏了</t>
    </r>
    <phoneticPr fontId="1" type="noConversion"/>
  </si>
  <si>
    <t>駄目な人	没用的人
駄目になる	毁了、完蛋了
駄目だと言われた	被说不行</t>
    <phoneticPr fontId="1" type="noConversion"/>
  </si>
  <si>
    <t>ふそく</t>
    <phoneticPr fontId="1" type="noConversion"/>
  </si>
  <si>
    <t>だるい</t>
    <phoneticPr fontId="1" type="noConversion"/>
  </si>
  <si>
    <t>だるい</t>
  </si>
  <si>
    <t>身体发沉、没力气（身体无精打采、疲劳）；懒得动、提不起劲（精神或情绪上的疲惫）</t>
    <phoneticPr fontId="1" type="noConversion"/>
  </si>
  <si>
    <t>昨日寝不足で、今日はすごくだるい。 昨天没睡好，今天特别没劲。</t>
    <phoneticPr fontId="1" type="noConversion"/>
  </si>
  <si>
    <t>熱はないけど、体がだるい。 没发烧，但身体很沉。</t>
    <phoneticPr fontId="1" type="noConversion"/>
  </si>
  <si>
    <t>なんとなくだるくて、何もしたくない。 总觉得提不起劲，什么都不想做。</t>
    <phoneticPr fontId="1" type="noConversion"/>
  </si>
  <si>
    <t>だるいから、今日は家でゆっくりしたい。 太累了，今天想在家休息一下。</t>
    <phoneticPr fontId="1" type="noConversion"/>
  </si>
  <si>
    <t>体がだるい	身体疲倦
気分がだるい	情绪低落，提不起精神
朝からだるい	从早上开始就没劲
熱っぽくてだるい	有点发热而且很乏力</t>
    <phoneticPr fontId="1" type="noConversion"/>
  </si>
  <si>
    <t>茶色い</t>
    <phoneticPr fontId="1" type="noConversion"/>
  </si>
  <si>
    <t>ちゃいろい</t>
    <phoneticPr fontId="1" type="noConversion"/>
  </si>
  <si>
    <t>茶色的，褐色的</t>
    <phoneticPr fontId="1" type="noConversion"/>
  </si>
  <si>
    <t>適当</t>
    <phoneticPr fontId="1" type="noConversion"/>
  </si>
  <si>
    <t>てきとう</t>
    <phoneticPr fontId="1" type="noConversion"/>
  </si>
  <si>
    <r>
      <rPr>
        <sz val="11"/>
        <color rgb="FFFF0000"/>
        <rFont val="等线"/>
        <family val="4"/>
        <charset val="134"/>
        <scheme val="minor"/>
      </rPr>
      <t>合适</t>
    </r>
    <r>
      <rPr>
        <sz val="11"/>
        <color theme="1"/>
        <rFont val="等线"/>
        <family val="2"/>
        <scheme val="minor"/>
      </rPr>
      <t>、适当（与场合、情况相符）；随便、敷衍（做事不认真、马虎）</t>
    </r>
    <phoneticPr fontId="1" type="noConversion"/>
  </si>
  <si>
    <t>この服はパーティーに適当だ。 这件衣服适合参加聚会。</t>
    <phoneticPr fontId="1" type="noConversion"/>
  </si>
  <si>
    <t>彼はいつも適当に仕事をしている。 他总是马马虎虎地工作。</t>
    <phoneticPr fontId="1" type="noConversion"/>
  </si>
  <si>
    <t>適当な運動は健康にいい。 适量的运动有益健康。</t>
    <phoneticPr fontId="1" type="noConversion"/>
  </si>
  <si>
    <t>面倒だから、適当に返事しておいた。 太麻烦了，就随便应付了一下。</t>
    <phoneticPr fontId="1" type="noConversion"/>
  </si>
  <si>
    <t>適当な方法	合适的方法（褒义）
適当に答える	随便应付地回答（贬义）
適当な人を選ぶ	选一个合适的人（褒义）
適当にやっておいて	随便处理一下（贬义）</t>
    <phoneticPr fontId="1" type="noConversion"/>
  </si>
  <si>
    <t>どのよう</t>
    <phoneticPr fontId="1" type="noConversion"/>
  </si>
  <si>
    <t>どのよう</t>
  </si>
  <si>
    <t>怎样，如何</t>
    <phoneticPr fontId="1" type="noConversion"/>
  </si>
  <si>
    <t>これはどのように操作するのですか？ 这个要怎么操作呢？</t>
    <phoneticPr fontId="1" type="noConversion"/>
  </si>
  <si>
    <t>彼がどのように考えているのか分からない。 我不知道他是怎么想的。</t>
    <phoneticPr fontId="1" type="noConversion"/>
  </si>
  <si>
    <t>どのような経緯でこの結果になったのですか？ 是经历了什么才导致这个结果的？</t>
    <phoneticPr fontId="1" type="noConversion"/>
  </si>
  <si>
    <t>お客様にはどのように説明しましたか？ 你是怎么向客户解释的？</t>
    <phoneticPr fontId="1" type="noConversion"/>
  </si>
  <si>
    <t>どのように使いますか？	怎么使用？
どのような意味ですか？	是什么意思？
どのような人ですか？	是个怎样的人？
どのように対応しますか？	如何应对？</t>
    <phoneticPr fontId="1" type="noConversion"/>
  </si>
  <si>
    <t>ちょくせつ</t>
    <phoneticPr fontId="1" type="noConversion"/>
  </si>
  <si>
    <t>苦い</t>
    <phoneticPr fontId="1" type="noConversion"/>
  </si>
  <si>
    <t>にがい</t>
    <phoneticPr fontId="1" type="noConversion"/>
  </si>
  <si>
    <t>苦的</t>
    <phoneticPr fontId="1" type="noConversion"/>
  </si>
  <si>
    <t>苦手　にがて</t>
    <phoneticPr fontId="1" type="noConversion"/>
  </si>
  <si>
    <t>くるしい</t>
    <phoneticPr fontId="1" type="noConversion"/>
  </si>
  <si>
    <t>痛苦的</t>
    <phoneticPr fontId="1" type="noConversion"/>
  </si>
  <si>
    <t>熱心</t>
    <phoneticPr fontId="1" type="noConversion"/>
  </si>
  <si>
    <t>ねっしん</t>
    <phoneticPr fontId="1" type="noConversion"/>
  </si>
  <si>
    <t>热心、积极、认真（对某事投入很多热情）</t>
    <phoneticPr fontId="1" type="noConversion"/>
  </si>
  <si>
    <t>彼女はボランティア活動に熱心です。 她热心于志愿活动。</t>
    <phoneticPr fontId="1" type="noConversion"/>
  </si>
  <si>
    <t>先生は学生の指導にとても熱心だ。 老师对学生的指导非常认真。</t>
    <phoneticPr fontId="1" type="noConversion"/>
  </si>
  <si>
    <t>彼は仕事に熱心に取り組んでいる。 他正热情地投入于工作中。</t>
    <phoneticPr fontId="1" type="noConversion"/>
  </si>
  <si>
    <t>熱心なファンがたくさん集まった。 聚集了许多热情的粉丝。</t>
    <phoneticPr fontId="1" type="noConversion"/>
  </si>
  <si>
    <r>
      <t xml:space="preserve">熱心な人	热心的人
</t>
    </r>
    <r>
      <rPr>
        <sz val="11"/>
        <color rgb="FFFF0000"/>
        <rFont val="等线"/>
        <family val="4"/>
        <charset val="134"/>
        <scheme val="minor"/>
      </rPr>
      <t>勉強に熱心だ	对学习很投入</t>
    </r>
    <r>
      <rPr>
        <sz val="11"/>
        <color theme="1"/>
        <rFont val="等线"/>
        <family val="2"/>
        <scheme val="minor"/>
      </rPr>
      <t xml:space="preserve">
熱心に取り組む	积极投入、认真从事
熱心な指導	热情认真的指导</t>
    </r>
    <phoneticPr fontId="1" type="noConversion"/>
  </si>
  <si>
    <t>寝坊</t>
    <phoneticPr fontId="1" type="noConversion"/>
  </si>
  <si>
    <t>ねぼう</t>
    <phoneticPr fontId="1" type="noConversion"/>
  </si>
  <si>
    <t>懒觉</t>
    <phoneticPr fontId="1" type="noConversion"/>
  </si>
  <si>
    <t>眠い</t>
    <phoneticPr fontId="1" type="noConversion"/>
  </si>
  <si>
    <t>ねむい</t>
    <phoneticPr fontId="1" type="noConversion"/>
  </si>
  <si>
    <t>恥ずかしい</t>
    <phoneticPr fontId="1" type="noConversion"/>
  </si>
  <si>
    <t>はずかしい</t>
    <phoneticPr fontId="1" type="noConversion"/>
  </si>
  <si>
    <t>反対</t>
    <phoneticPr fontId="1" type="noConversion"/>
  </si>
  <si>
    <t>はんたい</t>
    <phoneticPr fontId="1" type="noConversion"/>
  </si>
  <si>
    <r>
      <rPr>
        <sz val="11"/>
        <color rgb="FFFF0000"/>
        <rFont val="游ゴシック"/>
        <family val="3"/>
        <charset val="128"/>
      </rPr>
      <t>久</t>
    </r>
    <r>
      <rPr>
        <sz val="11"/>
        <color theme="1"/>
        <rFont val="游ゴシック"/>
        <family val="2"/>
        <charset val="128"/>
      </rPr>
      <t>しぶり</t>
    </r>
    <phoneticPr fontId="1" type="noConversion"/>
  </si>
  <si>
    <t>ひさしぶり</t>
    <phoneticPr fontId="1" type="noConversion"/>
  </si>
  <si>
    <t>不要</t>
    <phoneticPr fontId="1" type="noConversion"/>
  </si>
  <si>
    <t>酷い</t>
    <phoneticPr fontId="1" type="noConversion"/>
  </si>
  <si>
    <t>ひどい</t>
    <phoneticPr fontId="1" type="noConversion"/>
  </si>
  <si>
    <t xml:space="preserve">残酷、无情（行为冷酷、不讲情理）；严重、厉害（程度很强，通常是负面的）；过分、过于糟糕（让人无法接受）；（天气、状况）恶劣（令人不舒服）
</t>
    <phoneticPr fontId="1" type="noConversion"/>
  </si>
  <si>
    <t>そんな酷いことを言わないで。 不要说那么过分的话。</t>
  </si>
  <si>
    <t>昨日は熱と咳がひどくて、一晩中眠れなかった。 昨天发烧咳嗽很严重，整晚都睡不着。</t>
  </si>
  <si>
    <t>酷い目に遭ったよ。 遇到了倒霉透顶的事。</t>
    <phoneticPr fontId="1" type="noConversion"/>
  </si>
  <si>
    <t>今日の暑さは本当に酷い。 今天热得要命。</t>
    <phoneticPr fontId="1" type="noConversion"/>
  </si>
  <si>
    <t>酷い仕打ち	残忍的对待
酷い目に遭う	遭受惨状、倒大霉
酷い天気	恶劣天气
酷い話	太过分的事</t>
    <phoneticPr fontId="1" type="noConversion"/>
  </si>
  <si>
    <t>ふくざつ</t>
    <phoneticPr fontId="1" type="noConversion"/>
  </si>
  <si>
    <t>不自由</t>
    <phoneticPr fontId="1" type="noConversion"/>
  </si>
  <si>
    <t>ふじゆ</t>
    <phoneticPr fontId="1" type="noConversion"/>
  </si>
  <si>
    <t>不親切</t>
    <phoneticPr fontId="1" type="noConversion"/>
  </si>
  <si>
    <t>ふしんせつ</t>
    <phoneticPr fontId="1" type="noConversion"/>
  </si>
  <si>
    <t>つめたい</t>
    <phoneticPr fontId="1" type="noConversion"/>
  </si>
  <si>
    <t>普段</t>
    <phoneticPr fontId="1" type="noConversion"/>
  </si>
  <si>
    <t>ふだん</t>
    <phoneticPr fontId="1" type="noConversion"/>
  </si>
  <si>
    <t>普通</t>
    <phoneticPr fontId="1" type="noConversion"/>
  </si>
  <si>
    <t>ふつう</t>
    <phoneticPr fontId="1" type="noConversion"/>
  </si>
  <si>
    <t>特別</t>
    <phoneticPr fontId="1" type="noConversion"/>
  </si>
  <si>
    <t>とくべつ</t>
    <phoneticPr fontId="1" type="noConversion"/>
  </si>
  <si>
    <t>太い</t>
    <phoneticPr fontId="1" type="noConversion"/>
  </si>
  <si>
    <t>ふとい</t>
    <phoneticPr fontId="1" type="noConversion"/>
  </si>
  <si>
    <t>不便</t>
    <phoneticPr fontId="1" type="noConversion"/>
  </si>
  <si>
    <t>ふべん</t>
    <phoneticPr fontId="1" type="noConversion"/>
  </si>
  <si>
    <t>便利</t>
    <phoneticPr fontId="1" type="noConversion"/>
  </si>
  <si>
    <t>べんり</t>
    <phoneticPr fontId="1" type="noConversion"/>
  </si>
  <si>
    <t>別</t>
    <phoneticPr fontId="1" type="noConversion"/>
  </si>
  <si>
    <t>べつ</t>
    <phoneticPr fontId="1" type="noConversion"/>
  </si>
  <si>
    <t>変</t>
    <phoneticPr fontId="1" type="noConversion"/>
  </si>
  <si>
    <t>へん</t>
    <phoneticPr fontId="1" type="noConversion"/>
  </si>
  <si>
    <t>真面目</t>
    <phoneticPr fontId="1" type="noConversion"/>
  </si>
  <si>
    <t>まじめ</t>
    <phoneticPr fontId="1" type="noConversion"/>
  </si>
  <si>
    <t>认真；严肃（认真的表情）</t>
    <phoneticPr fontId="1" type="noConversion"/>
  </si>
  <si>
    <t>彼はとても真面目な性格だ。 他性格非常老实认真。</t>
    <phoneticPr fontId="1" type="noConversion"/>
  </si>
  <si>
    <t>真面目に話を聞いてください。 请认真听我说。</t>
    <phoneticPr fontId="1" type="noConversion"/>
  </si>
  <si>
    <t>彼女はいつも真面目に勉強している。 她一直都认真学习。</t>
    <phoneticPr fontId="1" type="noConversion"/>
  </si>
  <si>
    <t>その学生は授業に真面目に取り組んでいる。 那个学生在课堂上很认真地投入学习。</t>
    <phoneticPr fontId="1" type="noConversion"/>
  </si>
  <si>
    <t>無駄</t>
    <phoneticPr fontId="1" type="noConversion"/>
  </si>
  <si>
    <t>むだ</t>
    <phoneticPr fontId="1" type="noConversion"/>
  </si>
  <si>
    <t>无用、徒劳（做了也没有结果）；浪费（没必要地使用时间、金钱、精力等）</t>
    <phoneticPr fontId="1" type="noConversion"/>
  </si>
  <si>
    <t>そんなことをしても無駄だよ。 做那种事也没用的。</t>
  </si>
  <si>
    <t>時間を無駄にしないようにしよう。 我们要尽量不浪费时间。</t>
  </si>
  <si>
    <t>彼の努力は無駄にはならなかった。 他的努力没有白费。</t>
  </si>
  <si>
    <t>無駄な買い物ばかりしてしまった。 都是在买没用的东西。</t>
    <phoneticPr fontId="1" type="noConversion"/>
  </si>
  <si>
    <t>無駄な努力	徒劳的努力
無駄にする	浪费
無駄遣い	浪费（钱、资源）
無駄話	闲聊、废话</t>
    <phoneticPr fontId="1" type="noConversion"/>
  </si>
  <si>
    <t>無理</t>
    <phoneticPr fontId="1" type="noConversion"/>
  </si>
  <si>
    <t>むり</t>
    <phoneticPr fontId="1" type="noConversion"/>
  </si>
  <si>
    <t>不可能、做不到（超出能力或条件）；勉强、硬来（强行做某事）；不合理、违反常理（没有道理）</t>
    <phoneticPr fontId="1" type="noConversion"/>
  </si>
  <si>
    <t>そんなことは無理です。 那种事是不可能的。</t>
  </si>
  <si>
    <t>無理をしないで、少し休んでください。 别太勉强自己，休息一下吧。</t>
  </si>
  <si>
    <t>彼にそんな無理な頼みはできない。 不能向他提出那样过分的请求。</t>
  </si>
  <si>
    <t>その計画は時間的に無理がある。 这个计划在时间上不太现实。</t>
    <phoneticPr fontId="1" type="noConversion"/>
  </si>
  <si>
    <t>無理をする	勉强自己／硬撑
無理なお願い	不合理的请求
無理に頼む	强行拜托
無理な計画	不现实的计划</t>
    <phoneticPr fontId="1" type="noConversion"/>
  </si>
  <si>
    <t>迷惑</t>
    <phoneticPr fontId="1" type="noConversion"/>
  </si>
  <si>
    <t>めいわく</t>
    <phoneticPr fontId="1" type="noConversion"/>
  </si>
  <si>
    <t>麻烦、困扰（给别人造成不便）；为难、困惑（自己感到棘手或不知所措）</t>
    <phoneticPr fontId="1" type="noConversion"/>
  </si>
  <si>
    <t>他人に迷惑をかけてはいけません。 不可以给别人添麻烦。</t>
  </si>
  <si>
    <t>夜遅くに電話して迷惑だった？ 半夜打电话打扰到你了吗？</t>
  </si>
  <si>
    <t>迷惑なメールがたくさん届く。 收到很多垃圾邮件。</t>
  </si>
  <si>
    <t>君のせいでみんなが迷惑している。 因为你，大家都很困扰。</t>
  </si>
  <si>
    <t>迷惑をかける	给人添麻烦
迷惑になる	成为麻烦、造成困扰
迷惑な人	惹人烦的人
迷惑行為	引人困扰的行为</t>
    <phoneticPr fontId="1" type="noConversion"/>
  </si>
  <si>
    <t>尤も</t>
    <phoneticPr fontId="1" type="noConversion"/>
  </si>
  <si>
    <t>もっとも</t>
    <phoneticPr fontId="1" type="noConversion"/>
  </si>
  <si>
    <t>当然、合理、说得对（作为评价，表示“有道理”）；不过、但话说回来（转折语气，用于补充或限定前句）</t>
    <phoneticPr fontId="1" type="noConversion"/>
  </si>
  <si>
    <r>
      <t>最も　</t>
    </r>
    <r>
      <rPr>
        <sz val="11"/>
        <color theme="1"/>
        <rFont val="DengXian"/>
        <family val="2"/>
        <charset val="134"/>
      </rPr>
      <t>同音</t>
    </r>
    <phoneticPr fontId="1" type="noConversion"/>
  </si>
  <si>
    <t>君が怒るのも尤もだ。 你会生气也是情有可原的。</t>
  </si>
  <si>
    <t>彼の意見は尤もだと思う。 我觉得他说得很有道理。</t>
    <phoneticPr fontId="1" type="noConversion"/>
  </si>
  <si>
    <t>今すぐ行きたい。尤も、時間があればの話だが。 我现在就想去——不过前提是有时间的话。</t>
  </si>
  <si>
    <t>全員反対した。尤も、一人だけ黙っていた人もいた。 所有人都反对了，不过，也有一个人保持沉默。</t>
    <phoneticPr fontId="1" type="noConversion"/>
  </si>
  <si>
    <t>やさしい</t>
    <phoneticPr fontId="1" type="noConversion"/>
  </si>
  <si>
    <t>易しい</t>
    <phoneticPr fontId="1" type="noConversion"/>
  </si>
  <si>
    <t>柔らかい/軟らかい</t>
    <phoneticPr fontId="1" type="noConversion"/>
  </si>
  <si>
    <t>やわらかい</t>
    <phoneticPr fontId="1" type="noConversion"/>
  </si>
  <si>
    <t>柔软的（物理性质上不硬）；温和的、柔和的（光线、声音、表情等）；灵活的、不死板的（语言、氛围、态度等）</t>
    <phoneticPr fontId="1" type="noConversion"/>
  </si>
  <si>
    <t>このパンはとても柔らかい。 这个面包非常松软。</t>
    <phoneticPr fontId="1" type="noConversion"/>
  </si>
  <si>
    <t>赤ちゃんの肌は柔らかくて気持ちいい。 婴儿的皮肤柔软而舒服。</t>
    <phoneticPr fontId="1" type="noConversion"/>
  </si>
  <si>
    <t>柔らかい言い方で注意したほうがいい。 最好用温和一点的方式提醒。</t>
    <phoneticPr fontId="1" type="noConversion"/>
  </si>
  <si>
    <t>部屋に柔らかい光が差し込んでいる。 柔和的阳光洒进房间。</t>
    <phoneticPr fontId="1" type="noConversion"/>
  </si>
  <si>
    <t>柔らかい布団	柔软的被褥
柔らかい表現	委婉的表达
柔らかい笑顔	温柔的笑容
柔らかい光	柔和的光线</t>
    <phoneticPr fontId="1" type="noConversion"/>
  </si>
  <si>
    <t>豊か</t>
    <phoneticPr fontId="1" type="noConversion"/>
  </si>
  <si>
    <t>ゆたか</t>
    <phoneticPr fontId="1" type="noConversion"/>
  </si>
  <si>
    <t>丰富、充裕（数量或内容多）；富裕（经济条件好）；富有情感、表现力强（表情、感情等方面）；肥沃、茂盛（自然资源等）</t>
    <phoneticPr fontId="1" type="noConversion"/>
  </si>
  <si>
    <t>この国は自然がとても豊かだ。 这个国家自然资源非常丰富。</t>
    <phoneticPr fontId="1" type="noConversion"/>
  </si>
  <si>
    <t>彼は心の豊かな人だ。 他是个内心充实、情感丰富的人。</t>
    <phoneticPr fontId="1" type="noConversion"/>
  </si>
  <si>
    <t>豊かな表現で話をしてくれた。 他用丰富的表现力讲述了这件事。</t>
  </si>
  <si>
    <t>昔より生活が豊かになった。 生活比以前富裕了。</t>
    <phoneticPr fontId="1" type="noConversion"/>
  </si>
  <si>
    <t>豊かな生活	富裕的生活
表現が豊か	表现丰富、富有表现力
自然が豊か	自然资源丰富
感情の豊か	情感丰富</t>
    <phoneticPr fontId="1" type="noConversion"/>
  </si>
  <si>
    <t>豊富</t>
    <phoneticPr fontId="1" type="noConversion"/>
  </si>
  <si>
    <t>宜しい</t>
    <phoneticPr fontId="1" type="noConversion"/>
  </si>
  <si>
    <t>よろしい</t>
    <phoneticPr fontId="1" type="noConversion"/>
  </si>
  <si>
    <t>我儘</t>
    <phoneticPr fontId="1" type="noConversion"/>
  </si>
  <si>
    <t>青い</t>
    <phoneticPr fontId="1" type="noConversion"/>
  </si>
  <si>
    <t>赤い</t>
    <phoneticPr fontId="1" type="noConversion"/>
  </si>
  <si>
    <t>明るい</t>
    <phoneticPr fontId="1" type="noConversion"/>
  </si>
  <si>
    <t>暗い</t>
  </si>
  <si>
    <t>温かい/暖かい</t>
    <phoneticPr fontId="1" type="noConversion"/>
  </si>
  <si>
    <t>涼しい</t>
    <phoneticPr fontId="1" type="noConversion"/>
  </si>
  <si>
    <t>すずしい</t>
    <phoneticPr fontId="1" type="noConversion"/>
  </si>
  <si>
    <t>新しい</t>
    <phoneticPr fontId="1" type="noConversion"/>
  </si>
  <si>
    <t>古い</t>
    <phoneticPr fontId="1" type="noConversion"/>
  </si>
  <si>
    <t>薄い</t>
  </si>
  <si>
    <t>甘い</t>
    <phoneticPr fontId="1" type="noConversion"/>
  </si>
  <si>
    <t>いい</t>
    <phoneticPr fontId="1" type="noConversion"/>
  </si>
  <si>
    <t>忙しい</t>
    <phoneticPr fontId="1" type="noConversion"/>
  </si>
  <si>
    <t>嫌</t>
    <phoneticPr fontId="1" type="noConversion"/>
  </si>
  <si>
    <t>いろいろ</t>
    <phoneticPr fontId="1" type="noConversion"/>
  </si>
  <si>
    <t>うるさい</t>
    <phoneticPr fontId="1" type="noConversion"/>
  </si>
  <si>
    <t>美味しい</t>
    <phoneticPr fontId="1" type="noConversion"/>
  </si>
  <si>
    <t>多い</t>
    <phoneticPr fontId="1" type="noConversion"/>
  </si>
  <si>
    <t>大きい</t>
    <phoneticPr fontId="1" type="noConversion"/>
  </si>
  <si>
    <t>小さい</t>
    <phoneticPr fontId="1" type="noConversion"/>
  </si>
  <si>
    <t>大きな</t>
    <phoneticPr fontId="1" type="noConversion"/>
  </si>
  <si>
    <t>小さな</t>
    <phoneticPr fontId="1" type="noConversion"/>
  </si>
  <si>
    <t>早い</t>
    <phoneticPr fontId="1" type="noConversion"/>
  </si>
  <si>
    <t>速い</t>
    <phoneticPr fontId="1" type="noConversion"/>
  </si>
  <si>
    <t>同じ</t>
    <phoneticPr fontId="1" type="noConversion"/>
  </si>
  <si>
    <t>違う</t>
  </si>
  <si>
    <t>軽い</t>
    <phoneticPr fontId="1" type="noConversion"/>
  </si>
  <si>
    <t>面白い</t>
    <phoneticPr fontId="1" type="noConversion"/>
  </si>
  <si>
    <t>つまらない</t>
    <phoneticPr fontId="1" type="noConversion"/>
  </si>
  <si>
    <t>2adj</t>
  </si>
  <si>
    <t>永遠</t>
    <phoneticPr fontId="1" type="noConversion"/>
  </si>
  <si>
    <t>えいえん</t>
  </si>
  <si>
    <t>寒冷</t>
  </si>
  <si>
    <t>かんれい</t>
  </si>
  <si>
    <t>皆無</t>
  </si>
  <si>
    <t>かいむ</t>
  </si>
  <si>
    <t>必然</t>
  </si>
  <si>
    <t>ひつぜん</t>
  </si>
  <si>
    <t>好運/幸運</t>
  </si>
  <si>
    <t>こううん</t>
  </si>
  <si>
    <t>不調</t>
  </si>
  <si>
    <t>ふちょう</t>
  </si>
  <si>
    <t>身体不适，情况不佳</t>
  </si>
  <si>
    <t>非合理</t>
  </si>
  <si>
    <t>ひごうり</t>
  </si>
  <si>
    <t>逆さま</t>
    <phoneticPr fontId="1" type="noConversion"/>
  </si>
  <si>
    <t>さか</t>
  </si>
  <si>
    <t>反过来，相反</t>
  </si>
  <si>
    <t>さすが</t>
  </si>
  <si>
    <t>不愧是</t>
  </si>
  <si>
    <t>甘い</t>
  </si>
  <si>
    <t>あま</t>
  </si>
  <si>
    <t>あまい</t>
  </si>
  <si>
    <t>甜的</t>
  </si>
  <si>
    <t>著しい</t>
    <phoneticPr fontId="1" type="noConversion"/>
  </si>
  <si>
    <t>いちじる</t>
  </si>
  <si>
    <t>いちじるしい</t>
  </si>
  <si>
    <t>显著</t>
  </si>
  <si>
    <t>快い</t>
  </si>
  <si>
    <t>こころよ</t>
  </si>
  <si>
    <t>こころよい</t>
  </si>
  <si>
    <t>愉快</t>
  </si>
  <si>
    <r>
      <t>心</t>
    </r>
    <r>
      <rPr>
        <sz val="11"/>
        <color rgb="FFFF0000"/>
        <rFont val="游ゴシック"/>
        <family val="3"/>
        <charset val="128"/>
      </rPr>
      <t>細</t>
    </r>
    <r>
      <rPr>
        <sz val="11"/>
        <color theme="1"/>
        <rFont val="游ゴシック"/>
        <family val="2"/>
        <charset val="128"/>
      </rPr>
      <t>い</t>
    </r>
    <phoneticPr fontId="1" type="noConversion"/>
  </si>
  <si>
    <t>こころぼそ</t>
    <phoneticPr fontId="1" type="noConversion"/>
  </si>
  <si>
    <r>
      <t>こころ</t>
    </r>
    <r>
      <rPr>
        <sz val="11"/>
        <color rgb="FFFF0000"/>
        <rFont val="等线"/>
        <family val="4"/>
        <charset val="134"/>
        <scheme val="minor"/>
      </rPr>
      <t>ぼそ</t>
    </r>
    <r>
      <rPr>
        <sz val="11"/>
        <color theme="1"/>
        <rFont val="等线"/>
        <family val="2"/>
        <scheme val="minor"/>
      </rPr>
      <t>い</t>
    </r>
    <phoneticPr fontId="1" type="noConversion"/>
  </si>
  <si>
    <t>心虚</t>
  </si>
  <si>
    <t>さり気ない</t>
  </si>
  <si>
    <t>げ</t>
  </si>
  <si>
    <t>さりげない</t>
  </si>
  <si>
    <t>不经意</t>
  </si>
  <si>
    <t>凄まじい</t>
  </si>
  <si>
    <t>すさ</t>
  </si>
  <si>
    <t>すさまじい</t>
  </si>
  <si>
    <t>惊人</t>
  </si>
  <si>
    <t>素っ気ない</t>
  </si>
  <si>
    <t>そっけ</t>
  </si>
  <si>
    <t>そっけない</t>
  </si>
  <si>
    <t>冷淡</t>
  </si>
  <si>
    <t>堪らない</t>
    <phoneticPr fontId="1" type="noConversion"/>
  </si>
  <si>
    <t>たま</t>
  </si>
  <si>
    <t>たまらない</t>
  </si>
  <si>
    <t>难忍</t>
  </si>
  <si>
    <t>何気ない</t>
  </si>
  <si>
    <t>なにげ</t>
  </si>
  <si>
    <t>なにげない</t>
  </si>
  <si>
    <t>无意</t>
  </si>
  <si>
    <t>生々しい</t>
  </si>
  <si>
    <t>なまなま</t>
  </si>
  <si>
    <t>なまなましい</t>
  </si>
  <si>
    <t>新鲜</t>
  </si>
  <si>
    <t>生臭い</t>
  </si>
  <si>
    <t>なまくさ</t>
  </si>
  <si>
    <t>なまくさい</t>
  </si>
  <si>
    <t>腥味</t>
  </si>
  <si>
    <t>馬鹿馬鹿しい</t>
  </si>
  <si>
    <t>ばかばか</t>
  </si>
  <si>
    <t>ばかばかしい</t>
  </si>
  <si>
    <t>荒谬</t>
  </si>
  <si>
    <t>程よい</t>
    <phoneticPr fontId="1" type="noConversion"/>
  </si>
  <si>
    <t>ほど</t>
  </si>
  <si>
    <t>ほどよい</t>
  </si>
  <si>
    <t>适度</t>
  </si>
  <si>
    <t>微笑ましい</t>
  </si>
  <si>
    <t>ほほえ</t>
  </si>
  <si>
    <t>ほほえましい</t>
  </si>
  <si>
    <t>令人欣慰</t>
  </si>
  <si>
    <t>みすぼらしい</t>
  </si>
  <si>
    <t>寒酸</t>
  </si>
  <si>
    <t>蒸し暑い</t>
  </si>
  <si>
    <t>む、あつ</t>
  </si>
  <si>
    <t>むしあつい</t>
  </si>
  <si>
    <t>闷热</t>
  </si>
  <si>
    <t>ややこしい</t>
  </si>
  <si>
    <t>复杂</t>
  </si>
  <si>
    <t>2类</t>
  </si>
  <si>
    <t>大らか</t>
  </si>
  <si>
    <t>おお</t>
  </si>
  <si>
    <t>おおらか</t>
  </si>
  <si>
    <t>豁达</t>
  </si>
  <si>
    <t>愚か</t>
    <phoneticPr fontId="1" type="noConversion"/>
  </si>
  <si>
    <t>かたくな</t>
  </si>
  <si>
    <t>感情的</t>
    <phoneticPr fontId="1" type="noConversion"/>
  </si>
  <si>
    <t>かんじょうてき</t>
  </si>
  <si>
    <t>感情化</t>
  </si>
  <si>
    <t>気さく</t>
  </si>
  <si>
    <t>き</t>
  </si>
  <si>
    <t>きさく</t>
  </si>
  <si>
    <t>爽快</t>
  </si>
  <si>
    <t>具体的</t>
    <phoneticPr fontId="1" type="noConversion"/>
  </si>
  <si>
    <t>ぐたいてき</t>
  </si>
  <si>
    <t>具体</t>
  </si>
  <si>
    <t>根気強い</t>
  </si>
  <si>
    <t>こんきづよ</t>
  </si>
  <si>
    <t>こんきづよい</t>
  </si>
  <si>
    <t>坚韧</t>
  </si>
  <si>
    <t>しなやか</t>
  </si>
  <si>
    <t>柔韧</t>
  </si>
  <si>
    <t>素朴</t>
    <phoneticPr fontId="1" type="noConversion"/>
  </si>
  <si>
    <t>そぼく</t>
    <phoneticPr fontId="1" type="noConversion"/>
  </si>
  <si>
    <t>そぼく</t>
  </si>
  <si>
    <t>朴素</t>
  </si>
  <si>
    <t>巧み</t>
  </si>
  <si>
    <t>たく</t>
  </si>
  <si>
    <t>たくみ</t>
  </si>
  <si>
    <t>巧妙</t>
  </si>
  <si>
    <t>嘲笑的</t>
  </si>
  <si>
    <t>ちょうしょうてき</t>
  </si>
  <si>
    <t>讽刺</t>
  </si>
  <si>
    <t>強気</t>
  </si>
  <si>
    <t>つよき</t>
  </si>
  <si>
    <t>强硬</t>
  </si>
  <si>
    <t>微妙</t>
  </si>
  <si>
    <t>びみょう</t>
  </si>
  <si>
    <t>本気</t>
  </si>
  <si>
    <t>ほんき</t>
  </si>
  <si>
    <t>认真</t>
  </si>
  <si>
    <t>楽観的</t>
  </si>
  <si>
    <t>らっかんてき</t>
  </si>
  <si>
    <t>乐观</t>
  </si>
  <si>
    <t>弱気</t>
  </si>
  <si>
    <t>よわき</t>
  </si>
  <si>
    <t>胆怯</t>
  </si>
  <si>
    <t>つよい</t>
  </si>
  <si>
    <t>弱い</t>
  </si>
  <si>
    <t>よわい</t>
  </si>
  <si>
    <t>上手い</t>
  </si>
  <si>
    <t>うまい</t>
  </si>
  <si>
    <t>丸い</t>
    <phoneticPr fontId="1" type="noConversion"/>
  </si>
  <si>
    <t>まるい</t>
  </si>
  <si>
    <t>もつたいない</t>
  </si>
  <si>
    <t>浪费的</t>
  </si>
  <si>
    <t>新鮮</t>
  </si>
  <si>
    <t>丁寧</t>
  </si>
  <si>
    <t>丈夫</t>
  </si>
  <si>
    <t>大量</t>
  </si>
  <si>
    <t>豪華</t>
  </si>
  <si>
    <t>斬新</t>
  </si>
  <si>
    <t>控える</t>
  </si>
  <si>
    <t>ひかえる</t>
    <phoneticPr fontId="1" type="noConversion"/>
  </si>
  <si>
    <t>りそうてき</t>
  </si>
  <si>
    <t>愛想がいい</t>
    <phoneticPr fontId="1" type="noConversion"/>
  </si>
  <si>
    <t>あいそう</t>
  </si>
  <si>
    <t>あいそうがいい</t>
  </si>
  <si>
    <t>亲切</t>
  </si>
  <si>
    <t>あっけない</t>
  </si>
  <si>
    <t>臆病</t>
    <phoneticPr fontId="1" type="noConversion"/>
  </si>
  <si>
    <t>おくびょう</t>
  </si>
  <si>
    <t>胆小</t>
  </si>
  <si>
    <t>手頃</t>
    <phoneticPr fontId="1" type="noConversion"/>
  </si>
  <si>
    <t>てごろ</t>
  </si>
  <si>
    <t>合适</t>
  </si>
  <si>
    <t>指价格、大小、程度、分量等方面正好合适、不多不少</t>
    <phoneticPr fontId="1" type="noConversion"/>
  </si>
  <si>
    <t>このカバンはデザインもよくて、値段も手頃だ。 这个包不仅设计好，价格也很合适。</t>
    <phoneticPr fontId="1" type="noConversion"/>
  </si>
  <si>
    <t>手頃なサイズの冷蔵庫を探しています。 我在找一台大小合适的冰箱。</t>
    <phoneticPr fontId="1" type="noConversion"/>
  </si>
  <si>
    <t>駅から手頃な距離に住みたい。 想住在离车站适中的距离。</t>
    <phoneticPr fontId="1" type="noConversion"/>
  </si>
  <si>
    <t>手頃な値段で買えるレストランを知りたい。 想知道哪家餐厅价格适中。</t>
    <phoneticPr fontId="1" type="noConversion"/>
  </si>
  <si>
    <t>手頃な値段	合适的价格
手頃な大きさ	合适的大小
手頃な商品	合适的商品
手頃な距離	合适的距离
手頃な価格帯	合理的价位</t>
    <phoneticPr fontId="1" type="noConversion"/>
  </si>
  <si>
    <t>このコートは品質もよく、手頃な価格でおすすめです。 这件大衣质量不错，价格也合适，推荐购买。</t>
    <phoneticPr fontId="1" type="noConversion"/>
  </si>
  <si>
    <t>相応しい</t>
    <phoneticPr fontId="1" type="noConversion"/>
  </si>
  <si>
    <t>ふさわしい</t>
    <phoneticPr fontId="1" type="noConversion"/>
  </si>
  <si>
    <t>相称的，适合的</t>
    <phoneticPr fontId="1" type="noConversion"/>
  </si>
  <si>
    <t>彼はこの役職に相応しい人物だ。 他是适合担任这个职位的人。</t>
    <phoneticPr fontId="1" type="noConversion"/>
  </si>
  <si>
    <t>年齢に相応しい行動をとってください。 请表现得与你的年龄相称一些。</t>
    <phoneticPr fontId="1" type="noConversion"/>
  </si>
  <si>
    <t>この場所にはもっとフォーマルな服が相応しい。 这个场合更适合正式一点的衣服。</t>
    <phoneticPr fontId="1" type="noConversion"/>
  </si>
  <si>
    <t>そんな言葉は教師として相応しくない。 那种话不适合作为老师说出口。</t>
    <phoneticPr fontId="1" type="noConversion"/>
  </si>
  <si>
    <t>役職に相応しい	适合担任职位
年齢に相応しい	与年龄相称
場所に相応しい服装	与场合相符的服装
発言に相応しくない	不符合身份的发言
相応しい態度	得体的举止／得当的态度</t>
    <phoneticPr fontId="1" type="noConversion"/>
  </si>
  <si>
    <t>あなたに相応しい人がきっと現れます。 一定会出现适合你的人。</t>
    <phoneticPr fontId="1" type="noConversion"/>
  </si>
  <si>
    <t>乏しい</t>
    <phoneticPr fontId="1" type="noConversion"/>
  </si>
  <si>
    <t>とぼしい</t>
  </si>
  <si>
    <t>情けない</t>
    <phoneticPr fontId="1" type="noConversion"/>
  </si>
  <si>
    <t>なさけない</t>
  </si>
  <si>
    <t>なさけない</t>
    <phoneticPr fontId="1" type="noConversion"/>
  </si>
  <si>
    <t>可耻、没出息、令人失望</t>
    <phoneticPr fontId="1" type="noConversion"/>
  </si>
  <si>
    <t>試合に負けたのは情けない。 输了比赛真让人丢脸。</t>
    <phoneticPr fontId="1" type="noConversion"/>
  </si>
  <si>
    <t>こんなこともできないなんて、自分が情けない。 连这种事都做不到，我真没用。</t>
    <phoneticPr fontId="1" type="noConversion"/>
  </si>
  <si>
    <t>情けない姿を見せてしまった。 把自己可耻的一面暴露出来了。</t>
    <phoneticPr fontId="1" type="noConversion"/>
  </si>
  <si>
    <t>彼は言い訳ばかりで情けないよ。 他总是找借口，真让人失望。</t>
    <phoneticPr fontId="1" type="noConversion"/>
  </si>
  <si>
    <t>情けない男	没出息的男人
情けない結果	丢脸的结果
自分が情けない	自己真窝囊
情けない話	丢脸的事
情けない気持ち	无地自容的心情</t>
    <phoneticPr fontId="1" type="noConversion"/>
  </si>
  <si>
    <t>情けない話だけど、まだ親に頼っている。 虽然很丢脸，但我还在依靠父母。</t>
    <phoneticPr fontId="1" type="noConversion"/>
  </si>
  <si>
    <t>滑らか</t>
    <phoneticPr fontId="1" type="noConversion"/>
  </si>
  <si>
    <t>なめらか</t>
  </si>
  <si>
    <t>光滑、流畅、顺利</t>
    <phoneticPr fontId="1" type="noConversion"/>
  </si>
  <si>
    <r>
      <t>。</t>
    </r>
    <r>
      <rPr>
        <sz val="11"/>
        <color theme="1"/>
        <rFont val="游ゴシック"/>
        <family val="2"/>
        <charset val="128"/>
      </rPr>
      <t>＝スムーズ</t>
    </r>
    <phoneticPr fontId="1" type="noConversion"/>
  </si>
  <si>
    <t>赤ちゃんの肌はとても滑らかだ。 婴儿的皮肤非常光滑。</t>
    <phoneticPr fontId="1" type="noConversion"/>
  </si>
  <si>
    <t>この陶器は表面が滑らかで美しい。 这个陶瓷表面光滑漂亮。</t>
    <phoneticPr fontId="1" type="noConversion"/>
  </si>
  <si>
    <t>彼は英語を滑らかに話す。 他讲英语非常流利。</t>
    <phoneticPr fontId="1" type="noConversion"/>
  </si>
  <si>
    <t>交渉は滑らかに進んでいる。 谈判进展顺利。</t>
    <phoneticPr fontId="1" type="noConversion"/>
  </si>
  <si>
    <t>滑らかな肌	光滑的皮肤
滑らかな表面	平滑的表面
滑らかな話し方	流畅的说话方式
滑らかな動き	顺畅的动作
滑らかに進む	顺利地进行</t>
    <phoneticPr fontId="1" type="noConversion"/>
  </si>
  <si>
    <t>このクリームを使うと肌が滑らかになります。 用这个乳霜可以让皮肤变得光滑。</t>
    <phoneticPr fontId="1" type="noConversion"/>
  </si>
  <si>
    <t>軽快</t>
  </si>
  <si>
    <t>計算高い</t>
  </si>
  <si>
    <t>軽率</t>
  </si>
  <si>
    <t>汚らわしい</t>
  </si>
  <si>
    <t>劇的</t>
  </si>
  <si>
    <t>煙たい</t>
  </si>
  <si>
    <t>健在</t>
  </si>
  <si>
    <t>健勝</t>
  </si>
  <si>
    <t>健全</t>
  </si>
  <si>
    <t>顕著</t>
  </si>
  <si>
    <t>厳密</t>
  </si>
  <si>
    <t>賢明</t>
  </si>
  <si>
    <t>高額</t>
  </si>
  <si>
    <t>煌々</t>
  </si>
  <si>
    <t>高尚</t>
  </si>
  <si>
    <t>強情</t>
  </si>
  <si>
    <t>公然</t>
  </si>
  <si>
    <t>小柄</t>
  </si>
  <si>
    <t>克明</t>
  </si>
  <si>
    <t>心細い</t>
  </si>
  <si>
    <t>滑稽</t>
  </si>
  <si>
    <t>孤独</t>
  </si>
  <si>
    <r>
      <rPr>
        <sz val="11"/>
        <color rgb="FFFF0000"/>
        <rFont val="等线"/>
        <family val="4"/>
        <charset val="134"/>
        <scheme val="minor"/>
      </rPr>
      <t>逞</t>
    </r>
    <r>
      <rPr>
        <sz val="11"/>
        <color theme="1"/>
        <rFont val="等线"/>
        <family val="2"/>
        <scheme val="minor"/>
      </rPr>
      <t>しい</t>
    </r>
    <phoneticPr fontId="1" type="noConversion"/>
  </si>
  <si>
    <t>たくましい</t>
    <phoneticPr fontId="1" type="noConversion"/>
  </si>
  <si>
    <t>逞しい体をしている。身体很结实。</t>
    <phoneticPr fontId="1" type="noConversion"/>
  </si>
  <si>
    <t>彼は逞しい精神の持ち主だ。他是一个意志坚强的人。</t>
    <phoneticPr fontId="1" type="noConversion"/>
  </si>
  <si>
    <t>逞しい努力で目標を達成した。凭借坚强的努力达成了目标。</t>
    <phoneticPr fontId="1" type="noConversion"/>
  </si>
  <si>
    <t>巧み</t>
    <phoneticPr fontId="1" type="noConversion"/>
  </si>
  <si>
    <t>たくみ</t>
    <phoneticPr fontId="1" type="noConversion"/>
  </si>
  <si>
    <t>多大</t>
    <phoneticPr fontId="1" type="noConversion"/>
  </si>
  <si>
    <t>ただい</t>
    <phoneticPr fontId="1" type="noConversion"/>
  </si>
  <si>
    <t>達者</t>
    <phoneticPr fontId="1" type="noConversion"/>
  </si>
  <si>
    <t>たっしゃ</t>
    <phoneticPr fontId="1" type="noConversion"/>
  </si>
  <si>
    <t>容易い</t>
    <phoneticPr fontId="1" type="noConversion"/>
  </si>
  <si>
    <t>たやすい</t>
    <phoneticPr fontId="1" type="noConversion"/>
  </si>
  <si>
    <t>多様</t>
    <phoneticPr fontId="1" type="noConversion"/>
  </si>
  <si>
    <t>たよう</t>
    <phoneticPr fontId="1" type="noConversion"/>
  </si>
  <si>
    <t>たわいない</t>
    <phoneticPr fontId="1" type="noConversion"/>
  </si>
  <si>
    <t>単一</t>
    <phoneticPr fontId="1" type="noConversion"/>
  </si>
  <si>
    <t>端的</t>
    <phoneticPr fontId="1" type="noConversion"/>
  </si>
  <si>
    <t>単独</t>
    <phoneticPr fontId="1" type="noConversion"/>
  </si>
  <si>
    <t>たんどく</t>
    <phoneticPr fontId="1" type="noConversion"/>
  </si>
  <si>
    <t>丹念</t>
    <phoneticPr fontId="1" type="noConversion"/>
  </si>
  <si>
    <t>たんねん</t>
    <phoneticPr fontId="1" type="noConversion"/>
  </si>
  <si>
    <t>堪能</t>
    <phoneticPr fontId="1" type="noConversion"/>
  </si>
  <si>
    <t>たんのう</t>
    <phoneticPr fontId="1" type="noConversion"/>
  </si>
  <si>
    <t>淡白</t>
    <phoneticPr fontId="1" type="noConversion"/>
  </si>
  <si>
    <t>たんばく</t>
    <phoneticPr fontId="1" type="noConversion"/>
  </si>
  <si>
    <t>ちっぽけ</t>
    <phoneticPr fontId="1" type="noConversion"/>
  </si>
  <si>
    <t>知的</t>
    <phoneticPr fontId="1" type="noConversion"/>
  </si>
  <si>
    <t>ちてき</t>
    <phoneticPr fontId="1" type="noConversion"/>
  </si>
  <si>
    <t>魅力的</t>
    <phoneticPr fontId="1" type="noConversion"/>
  </si>
  <si>
    <t>みりょくてき</t>
    <phoneticPr fontId="1" type="noConversion"/>
  </si>
  <si>
    <t>忠実</t>
    <phoneticPr fontId="1" type="noConversion"/>
  </si>
  <si>
    <t>ちゅうじつ</t>
    <phoneticPr fontId="1" type="noConversion"/>
  </si>
  <si>
    <t>重宝</t>
    <phoneticPr fontId="1" type="noConversion"/>
  </si>
  <si>
    <t>ちょうほう</t>
    <phoneticPr fontId="1" type="noConversion"/>
  </si>
  <si>
    <t>著名</t>
    <phoneticPr fontId="1" type="noConversion"/>
  </si>
  <si>
    <t>ちょめい</t>
    <phoneticPr fontId="1" type="noConversion"/>
  </si>
  <si>
    <t>痛切</t>
    <phoneticPr fontId="1" type="noConversion"/>
  </si>
  <si>
    <t>つうせつ</t>
    <phoneticPr fontId="1" type="noConversion"/>
  </si>
  <si>
    <t>月並み</t>
    <phoneticPr fontId="1" type="noConversion"/>
  </si>
  <si>
    <t>つきなみ</t>
    <phoneticPr fontId="1" type="noConversion"/>
  </si>
  <si>
    <t>人並み</t>
    <phoneticPr fontId="1" type="noConversion"/>
  </si>
  <si>
    <t>ひとなみ</t>
    <phoneticPr fontId="1" type="noConversion"/>
  </si>
  <si>
    <t>つぶら</t>
    <phoneticPr fontId="1" type="noConversion"/>
  </si>
  <si>
    <t>でかい</t>
    <phoneticPr fontId="1" type="noConversion"/>
  </si>
  <si>
    <t>太陽が眩しい。太阳很刺眼。
光が眩しい。光线很耀眼。
眩しくて目が開けられない。亮得睁不开眼。
眩しい笑顔。灿烂的笑容。
青春が眩しい。青春令人羡慕、耀眼。</t>
    <phoneticPr fontId="1" type="noConversion"/>
  </si>
  <si>
    <t>朝日の光が眩しい。朝阳的光线很刺眼。</t>
    <phoneticPr fontId="1" type="noConversion"/>
  </si>
  <si>
    <t>眩しくて前が見えない。太亮了，看不清前面。</t>
    <phoneticPr fontId="1" type="noConversion"/>
  </si>
  <si>
    <t>活躍する若者たちが眩しく見える。那些活跃的年轻人看起来十分耀眼。</t>
    <phoneticPr fontId="1" type="noConversion"/>
  </si>
  <si>
    <t>彼女の笑顔はとても眩しい。她的笑容非常灿烂。</t>
    <phoneticPr fontId="1" type="noConversion"/>
  </si>
  <si>
    <t>一般写平假名</t>
    <phoneticPr fontId="1" type="noConversion"/>
  </si>
  <si>
    <t>大人しい子（老实的孩子）
大人しい犬（温顺的狗）
性格が大人しい（性格文静）
大人しくする（老实待着）
大人しく従う（乖乖服从）</t>
    <phoneticPr fontId="1" type="noConversion"/>
  </si>
  <si>
    <t>あの子はとても大人しい。那个孩子很文静。</t>
    <phoneticPr fontId="1" type="noConversion"/>
  </si>
  <si>
    <t>この犬は大人しいので安心してください。这只狗很温顺，请放心。</t>
    <phoneticPr fontId="1" type="noConversion"/>
  </si>
  <si>
    <t>そんなに大人しい性格じゃない。我的性格没那么老实。</t>
    <phoneticPr fontId="1" type="noConversion"/>
  </si>
  <si>
    <t>一般写假名</t>
    <phoneticPr fontId="1" type="noConversion"/>
  </si>
  <si>
    <r>
      <t>今日は家で</t>
    </r>
    <r>
      <rPr>
        <sz val="11"/>
        <color rgb="FFFF0000"/>
        <rFont val="等线"/>
        <family val="3"/>
        <charset val="134"/>
      </rPr>
      <t>おとなし</t>
    </r>
    <r>
      <rPr>
        <sz val="11"/>
        <color theme="1"/>
        <rFont val="等线"/>
        <family val="2"/>
        <scheme val="minor"/>
      </rPr>
      <t>くしている。今天老老实实待在家里。</t>
    </r>
    <phoneticPr fontId="1" type="noConversion"/>
  </si>
  <si>
    <t>未定</t>
    <phoneticPr fontId="1" type="noConversion"/>
  </si>
  <si>
    <t>未練</t>
    <phoneticPr fontId="1" type="noConversion"/>
  </si>
  <si>
    <t>未練がましい</t>
    <phoneticPr fontId="1" type="noConversion"/>
  </si>
  <si>
    <t>無気力</t>
    <phoneticPr fontId="1" type="noConversion"/>
  </si>
  <si>
    <t>無口</t>
    <phoneticPr fontId="1" type="noConversion"/>
  </si>
  <si>
    <t>無効</t>
    <phoneticPr fontId="1" type="noConversion"/>
  </si>
  <si>
    <t>むさ苦しい</t>
    <phoneticPr fontId="1" type="noConversion"/>
  </si>
  <si>
    <t>無惨</t>
    <phoneticPr fontId="1" type="noConversion"/>
  </si>
  <si>
    <t>無茶</t>
    <phoneticPr fontId="1" type="noConversion"/>
  </si>
  <si>
    <t>無茶苦茶</t>
    <phoneticPr fontId="1" type="noConversion"/>
  </si>
  <si>
    <t>空しい</t>
    <phoneticPr fontId="1" type="noConversion"/>
  </si>
  <si>
    <t>無念</t>
    <phoneticPr fontId="1" type="noConversion"/>
  </si>
  <si>
    <t>無謀</t>
    <phoneticPr fontId="1" type="noConversion"/>
  </si>
  <si>
    <t>無闇</t>
    <phoneticPr fontId="1" type="noConversion"/>
  </si>
  <si>
    <t>明白</t>
    <phoneticPr fontId="1" type="noConversion"/>
  </si>
  <si>
    <t>名誉</t>
    <phoneticPr fontId="1" type="noConversion"/>
  </si>
  <si>
    <t>明瞭</t>
    <phoneticPr fontId="1" type="noConversion"/>
  </si>
  <si>
    <t>明朗</t>
    <phoneticPr fontId="1" type="noConversion"/>
  </si>
  <si>
    <t>目覚ましい</t>
    <phoneticPr fontId="1" type="noConversion"/>
  </si>
  <si>
    <t>目まぐるしい</t>
    <phoneticPr fontId="1" type="noConversion"/>
  </si>
  <si>
    <t>綿密</t>
    <phoneticPr fontId="1" type="noConversion"/>
  </si>
  <si>
    <t>猛烈</t>
    <phoneticPr fontId="1" type="noConversion"/>
  </si>
  <si>
    <t>盲目的</t>
    <phoneticPr fontId="1" type="noConversion"/>
  </si>
  <si>
    <t>もってのほか</t>
    <phoneticPr fontId="1" type="noConversion"/>
  </si>
  <si>
    <t>物好き</t>
    <phoneticPr fontId="1" type="noConversion"/>
  </si>
  <si>
    <t>やたら</t>
    <phoneticPr fontId="1" type="noConversion"/>
  </si>
  <si>
    <t>優位</t>
    <phoneticPr fontId="1" type="noConversion"/>
  </si>
  <si>
    <t>有益</t>
    <phoneticPr fontId="1" type="noConversion"/>
  </si>
  <si>
    <t>勇敢</t>
    <phoneticPr fontId="1" type="noConversion"/>
  </si>
  <si>
    <t>有数</t>
    <phoneticPr fontId="1" type="noConversion"/>
  </si>
  <si>
    <t>優勢</t>
    <phoneticPr fontId="1" type="noConversion"/>
  </si>
  <si>
    <t>劣勢</t>
    <phoneticPr fontId="1" type="noConversion"/>
  </si>
  <si>
    <t>優美</t>
    <phoneticPr fontId="1" type="noConversion"/>
  </si>
  <si>
    <t>裕福</t>
    <phoneticPr fontId="1" type="noConversion"/>
  </si>
  <si>
    <t>有望</t>
    <phoneticPr fontId="1" type="noConversion"/>
  </si>
  <si>
    <t>有力</t>
    <phoneticPr fontId="1" type="noConversion"/>
  </si>
  <si>
    <t>ゆゆしい</t>
    <phoneticPr fontId="1" type="noConversion"/>
  </si>
  <si>
    <t>緩やか</t>
    <phoneticPr fontId="1" type="noConversion"/>
  </si>
  <si>
    <t>ろく</t>
    <phoneticPr fontId="1" type="noConversion"/>
  </si>
  <si>
    <t>彼はろくに勉強もしないで試験を受けた。他不好好学习就去考试了。</t>
    <phoneticPr fontId="1" type="noConversion"/>
  </si>
  <si>
    <t>昨日は忙しくてろくに寝ていない。昨天太忙了，几乎没怎么睡。</t>
    <phoneticPr fontId="1" type="noConversion"/>
  </si>
  <si>
    <t>朝から何も食べていないので、ろくに力が出ない。从早上起什么都没吃，所以使不上劲。</t>
    <phoneticPr fontId="1" type="noConversion"/>
  </si>
  <si>
    <t>彼は人の話をろくに聞かない。他根本不好好听别人说话。</t>
    <phoneticPr fontId="1" type="noConversion"/>
  </si>
  <si>
    <t>后面基本接否定。ろくに……ない。 ろくな＋名词  正经的，像样的</t>
    <phoneticPr fontId="1" type="noConversion"/>
  </si>
  <si>
    <t>ろくな仕事がない。没有什么像样的工作。</t>
    <phoneticPr fontId="1" type="noConversion"/>
  </si>
  <si>
    <t>ろくな人じゃない。不是个正经人。</t>
    <phoneticPr fontId="1" type="noConversion"/>
  </si>
  <si>
    <t>ろくな結果にならなかった。没得到什么好结果。</t>
    <phoneticPr fontId="1" type="noConversion"/>
  </si>
  <si>
    <r>
      <t>没怎么……；不好好……；</t>
    </r>
    <r>
      <rPr>
        <sz val="11"/>
        <color rgb="FFFF0000"/>
        <rFont val="等线"/>
        <family val="3"/>
        <charset val="134"/>
      </rPr>
      <t>正经的，像样的</t>
    </r>
    <phoneticPr fontId="1" type="noConversion"/>
  </si>
  <si>
    <t>ろくに勉強しない：不好好学习
ろくに働かない：不好好工作
ろくに食べていない：没怎么吃东西
ろくに寝ていない：没怎么睡觉
ろくに話もしない：几乎不说话
ろくに見ない：不认真看
ろくに読まない：不好好读
ろくな人：像样的人
ろくなことがない：没好事
ろくな結果にならない：不会有好结果</t>
    <phoneticPr fontId="1" type="noConversion"/>
  </si>
  <si>
    <t>まっさお</t>
    <phoneticPr fontId="1" type="noConversion"/>
  </si>
  <si>
    <r>
      <t>真っ</t>
    </r>
    <r>
      <rPr>
        <sz val="11"/>
        <color rgb="FFFF0000"/>
        <rFont val="游ゴシック"/>
        <charset val="128"/>
      </rPr>
      <t>青</t>
    </r>
    <phoneticPr fontId="1" type="noConversion"/>
  </si>
  <si>
    <t>真っ黒な髪　乌黑的头发
真っ黒な雲　黑压压的云
真っ黒な服　黑色衣服
真っ黒に焼ける　晒得黝黑
真っ黒になる　变得漆黑
真っ黒に汚れる　脏得黑乎乎
真っ黒な煙　滚滚黑烟
顔が真っ黒になる　脸变得黑乎乎
手が真っ黒だ　手黑乎乎的
空が真っ黒だ　天空乌云密布
焦げて真っ黒になる　烧得漆黑
日焼けで真っ黒になる　晒得黝黑
真っ黒な疑惑　严重嫌疑
真っ黒な会社　黑心公司</t>
    <phoneticPr fontId="1" type="noConversion"/>
  </si>
  <si>
    <t>子供たちは外で遊んで真っ黒になった。孩子们在外面玩得晒得黝黑。</t>
    <phoneticPr fontId="1" type="noConversion"/>
  </si>
  <si>
    <t>煙で天井が真っ黒になった。天花板被烟熏得漆黑。</t>
    <phoneticPr fontId="1" type="noConversion"/>
  </si>
  <si>
    <t>彼女は真っ黒な髪をしている。她有一头乌黑的头发。</t>
    <phoneticPr fontId="1" type="noConversion"/>
  </si>
  <si>
    <t>空に真っ黒な雲が広がっている。天空布满了黑压压的乌云。</t>
    <phoneticPr fontId="1" type="noConversion"/>
  </si>
  <si>
    <t>ありきたい</t>
    <phoneticPr fontId="1" type="noConversion"/>
  </si>
  <si>
    <t>ありのまま</t>
    <phoneticPr fontId="1" type="noConversion"/>
  </si>
  <si>
    <t>安静</t>
    <phoneticPr fontId="1" type="noConversion"/>
  </si>
  <si>
    <t>遺憾</t>
    <phoneticPr fontId="1" type="noConversion"/>
  </si>
  <si>
    <t>粋</t>
    <phoneticPr fontId="1" type="noConversion"/>
  </si>
  <si>
    <t>潔い</t>
    <phoneticPr fontId="1" type="noConversion"/>
  </si>
  <si>
    <t>痛ましい</t>
    <phoneticPr fontId="1" type="noConversion"/>
  </si>
  <si>
    <t>一様</t>
    <phoneticPr fontId="1" type="noConversion"/>
  </si>
  <si>
    <t>一律</t>
    <phoneticPr fontId="1" type="noConversion"/>
  </si>
  <si>
    <t>愛しい</t>
    <phoneticPr fontId="1" type="noConversion"/>
  </si>
  <si>
    <t>否めない</t>
    <phoneticPr fontId="1" type="noConversion"/>
  </si>
  <si>
    <t>嫌味</t>
    <phoneticPr fontId="1" type="noConversion"/>
  </si>
  <si>
    <t>嫌らしい</t>
    <phoneticPr fontId="1" type="noConversion"/>
  </si>
  <si>
    <t>入り用</t>
    <phoneticPr fontId="1" type="noConversion"/>
  </si>
  <si>
    <t>陰気</t>
    <phoneticPr fontId="1" type="noConversion"/>
  </si>
  <si>
    <t>陰湿</t>
    <phoneticPr fontId="1" type="noConversion"/>
  </si>
  <si>
    <t>迂闊</t>
    <phoneticPr fontId="1" type="noConversion"/>
  </si>
  <si>
    <t>後ろ向き</t>
    <phoneticPr fontId="1" type="noConversion"/>
  </si>
  <si>
    <t>後ろめたい</t>
    <phoneticPr fontId="1" type="noConversion"/>
  </si>
  <si>
    <t>疑わしい</t>
    <phoneticPr fontId="1" type="noConversion"/>
  </si>
  <si>
    <t>内気</t>
    <phoneticPr fontId="1" type="noConversion"/>
  </si>
  <si>
    <t>空ろ</t>
    <phoneticPr fontId="1" type="noConversion"/>
  </si>
  <si>
    <t>恭しい</t>
    <phoneticPr fontId="1" type="noConversion"/>
  </si>
  <si>
    <t>麗しい</t>
    <phoneticPr fontId="1" type="noConversion"/>
  </si>
  <si>
    <t>浮気</t>
    <phoneticPr fontId="1" type="noConversion"/>
  </si>
  <si>
    <t>うたがわしい</t>
    <phoneticPr fontId="1" type="noConversion"/>
  </si>
  <si>
    <t>疑わしい人物　可疑人物
疑わしい行動　可疑行为
疑わしい取引　可疑交易
信憑性が疑わしい　可信度存疑
効果が疑わしい　效果存疑</t>
    <phoneticPr fontId="1" type="noConversion"/>
  </si>
  <si>
    <t>彼が犯人として最も疑わしい。他作为犯人最值得怀疑。</t>
    <phoneticPr fontId="1" type="noConversion"/>
  </si>
  <si>
    <t>そのメールは疑わしい。那封邮件很可疑。</t>
    <phoneticPr fontId="1" type="noConversion"/>
  </si>
  <si>
    <t>彼の話は本当かどうか疑わしい。他说的话真假难辨。</t>
    <phoneticPr fontId="1" type="noConversion"/>
  </si>
  <si>
    <t>この商品の効果は疑わしい。这个产品的效果值得怀疑。</t>
    <phoneticPr fontId="1" type="noConversion"/>
  </si>
  <si>
    <t>可疑的，不可信的</t>
    <phoneticPr fontId="1" type="noConversion"/>
  </si>
  <si>
    <t>そもそも その話が疑わしいよ反正，那个说法本身就不可信。</t>
    <phoneticPr fontId="1" type="noConversion"/>
  </si>
  <si>
    <t>淡いピンクの花が咲いている。 开着淡粉色的花。</t>
    <phoneticPr fontId="1" type="noConversion"/>
  </si>
  <si>
    <t>空が淡い青色に染まっている。 天空染上了淡淡的蓝色。</t>
    <phoneticPr fontId="1" type="noConversion"/>
  </si>
  <si>
    <t>それは淡い恋だった。 那是一段朦胧的恋情。</t>
    <phoneticPr fontId="1" type="noConversion"/>
  </si>
  <si>
    <t>淡い色　浅色
淡いピンク　淡粉色
淡い恋　朦胧的恋情
淡い恋心　淡淡的爱意
淡い期待　微弱的期待
淡い希望　渺茫的希望
淡い記憶　模糊的记忆
淡い夢　朦胧的梦想</t>
    <phoneticPr fontId="1" type="noConversion"/>
  </si>
  <si>
    <t>浅い　あさい</t>
    <phoneticPr fontId="1" type="noConversion"/>
  </si>
  <si>
    <t>憎たらしい</t>
    <phoneticPr fontId="1" type="noConversion"/>
  </si>
  <si>
    <t>妬ましい</t>
    <phoneticPr fontId="1" type="noConversion"/>
  </si>
  <si>
    <t>粘り強い</t>
    <phoneticPr fontId="1" type="noConversion"/>
  </si>
  <si>
    <t>念入り</t>
    <phoneticPr fontId="1" type="noConversion"/>
  </si>
  <si>
    <t>年長</t>
    <phoneticPr fontId="1" type="noConversion"/>
  </si>
  <si>
    <t>濃密</t>
    <phoneticPr fontId="1" type="noConversion"/>
  </si>
  <si>
    <t>望ましい</t>
    <phoneticPr fontId="1" type="noConversion"/>
  </si>
  <si>
    <t>長閑</t>
    <phoneticPr fontId="1" type="noConversion"/>
  </si>
  <si>
    <t>はかない</t>
    <phoneticPr fontId="1" type="noConversion"/>
  </si>
  <si>
    <t>はかばかしい</t>
    <phoneticPr fontId="1" type="noConversion"/>
  </si>
  <si>
    <t>ばかばかしい</t>
    <phoneticPr fontId="1" type="noConversion"/>
  </si>
  <si>
    <t>計り知れない</t>
    <phoneticPr fontId="1" type="noConversion"/>
  </si>
  <si>
    <t>薄弱</t>
    <phoneticPr fontId="1" type="noConversion"/>
  </si>
  <si>
    <t>漠然</t>
    <phoneticPr fontId="1" type="noConversion"/>
  </si>
  <si>
    <t>肌寒い</t>
    <phoneticPr fontId="1" type="noConversion"/>
  </si>
  <si>
    <t>場違い</t>
    <phoneticPr fontId="1" type="noConversion"/>
  </si>
  <si>
    <t>抜群</t>
    <phoneticPr fontId="1" type="noConversion"/>
  </si>
  <si>
    <t>華々しい</t>
    <phoneticPr fontId="1" type="noConversion"/>
  </si>
  <si>
    <t>華やか</t>
    <phoneticPr fontId="1" type="noConversion"/>
  </si>
  <si>
    <t>離れ離れ</t>
    <phoneticPr fontId="1" type="noConversion"/>
  </si>
  <si>
    <t>腹立たしい</t>
    <phoneticPr fontId="1" type="noConversion"/>
  </si>
  <si>
    <t>はるか</t>
    <phoneticPr fontId="1" type="noConversion"/>
  </si>
  <si>
    <t>晴れ晴れしい</t>
    <phoneticPr fontId="1" type="noConversion"/>
  </si>
  <si>
    <t>繁盛</t>
    <phoneticPr fontId="1" type="noConversion"/>
  </si>
  <si>
    <t>半端</t>
    <phoneticPr fontId="1" type="noConversion"/>
  </si>
  <si>
    <t>控えめ</t>
    <phoneticPr fontId="1" type="noConversion"/>
  </si>
  <si>
    <t>悲観的</t>
    <phoneticPr fontId="1" type="noConversion"/>
  </si>
  <si>
    <t>久しい</t>
    <phoneticPr fontId="1" type="noConversion"/>
  </si>
  <si>
    <t>ひそか</t>
    <phoneticPr fontId="1" type="noConversion"/>
  </si>
  <si>
    <t>彼はとても粘り強い人だ。他是个非常有毅力的人。</t>
    <phoneticPr fontId="1" type="noConversion"/>
  </si>
  <si>
    <t>粘り強い努力が成功につながる。坚持不懈的努力会带来成功。</t>
    <phoneticPr fontId="1" type="noConversion"/>
  </si>
  <si>
    <t>彼女は粘り強く問題を解決した。她坚持不懈地解决了问题。</t>
    <phoneticPr fontId="1" type="noConversion"/>
  </si>
  <si>
    <t>あの選手は粘り強いプレーで有名だ。那位选手以顽强的比赛风格而闻名。</t>
    <phoneticPr fontId="1" type="noConversion"/>
  </si>
  <si>
    <t>粘り強い人　有毅力的人
粘り強い性格　坚韧的性格
粘り強い努力　坚持不懈的努力
粘り強い交渉　锲而不舍的谈判
粘り強い戦い　顽强的战斗
粘り強い選手　顽强的运动员
粘り強く頑張る　坚持不懈地努力</t>
    <phoneticPr fontId="1" type="noConversion"/>
  </si>
  <si>
    <t>坚持不懈的、有毅力的</t>
    <phoneticPr fontId="1" type="noConversion"/>
  </si>
  <si>
    <t>ねばりづよい</t>
    <phoneticPr fontId="1" type="noConversion"/>
  </si>
  <si>
    <t>人任せ</t>
    <phoneticPr fontId="1" type="noConversion"/>
  </si>
  <si>
    <t>非力</t>
    <phoneticPr fontId="1" type="noConversion"/>
  </si>
  <si>
    <t>貧弱</t>
    <phoneticPr fontId="1" type="noConversion"/>
  </si>
  <si>
    <t>頻繁</t>
    <phoneticPr fontId="1" type="noConversion"/>
  </si>
  <si>
    <t>貧乏</t>
    <phoneticPr fontId="1" type="noConversion"/>
  </si>
  <si>
    <t>無愛想</t>
    <phoneticPr fontId="1" type="noConversion"/>
  </si>
  <si>
    <t>不案内</t>
    <phoneticPr fontId="1" type="noConversion"/>
  </si>
  <si>
    <t>不得手</t>
    <phoneticPr fontId="1" type="noConversion"/>
  </si>
  <si>
    <t>無遠慮</t>
    <phoneticPr fontId="1" type="noConversion"/>
  </si>
  <si>
    <t>不穏</t>
    <phoneticPr fontId="1" type="noConversion"/>
  </si>
  <si>
    <t>不可解</t>
    <phoneticPr fontId="1" type="noConversion"/>
  </si>
  <si>
    <t>不可避</t>
    <phoneticPr fontId="1" type="noConversion"/>
  </si>
  <si>
    <t>ぶかぶか</t>
    <phoneticPr fontId="1" type="noConversion"/>
  </si>
  <si>
    <t>不吉</t>
    <phoneticPr fontId="1" type="noConversion"/>
  </si>
  <si>
    <t>不順</t>
    <phoneticPr fontId="1" type="noConversion"/>
  </si>
  <si>
    <t>不振</t>
    <phoneticPr fontId="1" type="noConversion"/>
  </si>
  <si>
    <t>不審</t>
    <phoneticPr fontId="1" type="noConversion"/>
  </si>
  <si>
    <t>不摂生</t>
    <phoneticPr fontId="1" type="noConversion"/>
  </si>
  <si>
    <t>不調</t>
    <phoneticPr fontId="1" type="noConversion"/>
  </si>
  <si>
    <t>不当</t>
    <phoneticPr fontId="1" type="noConversion"/>
  </si>
  <si>
    <t>無難</t>
    <phoneticPr fontId="1" type="noConversion"/>
  </si>
  <si>
    <t>不備</t>
    <phoneticPr fontId="1" type="noConversion"/>
  </si>
  <si>
    <t>不評</t>
    <phoneticPr fontId="1" type="noConversion"/>
  </si>
  <si>
    <t>不服</t>
    <phoneticPr fontId="1" type="noConversion"/>
  </si>
  <si>
    <t>不本意</t>
    <phoneticPr fontId="1" type="noConversion"/>
  </si>
  <si>
    <t>平静</t>
    <phoneticPr fontId="1" type="noConversion"/>
  </si>
  <si>
    <t>べこべこ</t>
    <phoneticPr fontId="1" type="noConversion"/>
  </si>
  <si>
    <t>呆然</t>
    <phoneticPr fontId="1" type="noConversion"/>
  </si>
  <si>
    <t>本気</t>
    <phoneticPr fontId="1" type="noConversion"/>
  </si>
  <si>
    <t>前向き</t>
    <phoneticPr fontId="1" type="noConversion"/>
  </si>
  <si>
    <t>まちまち</t>
    <phoneticPr fontId="1" type="noConversion"/>
  </si>
  <si>
    <t>まとも</t>
    <phoneticPr fontId="1" type="noConversion"/>
  </si>
  <si>
    <t>まばら</t>
    <phoneticPr fontId="1" type="noConversion"/>
  </si>
  <si>
    <t>回りくどい</t>
    <phoneticPr fontId="1" type="noConversion"/>
  </si>
  <si>
    <t>真ん丸い</t>
    <phoneticPr fontId="1" type="noConversion"/>
  </si>
  <si>
    <t>見苦しい</t>
    <phoneticPr fontId="1" type="noConversion"/>
  </si>
  <si>
    <t>みすぼらしい</t>
    <phoneticPr fontId="1" type="noConversion"/>
  </si>
  <si>
    <t>みずみずしい</t>
    <phoneticPr fontId="1" type="noConversion"/>
  </si>
  <si>
    <t>身近</t>
    <phoneticPr fontId="1" type="noConversion"/>
  </si>
  <si>
    <t>密接</t>
    <phoneticPr fontId="1" type="noConversion"/>
  </si>
  <si>
    <t>この二つの漢字は紛らわしい。（这两个汉字很容易混淆。）</t>
    <phoneticPr fontId="1" type="noConversion"/>
  </si>
  <si>
    <t>名前が似ていて紛らわしい。（名字很像，容易搞混。）</t>
    <phoneticPr fontId="1" type="noConversion"/>
  </si>
  <si>
    <t>紛らわしい表現は避けたほうがいい。（最好避免容易引起误解的表达。）</t>
    <phoneticPr fontId="1" type="noConversion"/>
  </si>
  <si>
    <t>まぎらわしい</t>
    <phoneticPr fontId="1" type="noConversion"/>
  </si>
  <si>
    <t>説明が紛らわしくて内容を誤解した。（说明容易让人混淆，我误解了内容。）</t>
    <phoneticPr fontId="1" type="noConversion"/>
  </si>
  <si>
    <t>容易混淆的、容易弄错的、容易误解，难以分辨的</t>
    <phoneticPr fontId="1" type="noConversion"/>
  </si>
  <si>
    <t>本物と偽物が紛らわしいほどよくできている。（做得逼真到真假难辨。）</t>
    <phoneticPr fontId="1" type="noConversion"/>
  </si>
  <si>
    <t>紛らわしい名前（容易混淆的名字）
紛らわしい表現（容易引起误解的表达）
紛らわしい漢字（容易混淆的汉字）
紛らわしい言い方（容易让人误会的说法）
紛らわしいデザイン（容易混淆的设计）</t>
    <phoneticPr fontId="1" type="noConversion"/>
  </si>
  <si>
    <r>
      <rPr>
        <sz val="11"/>
        <color rgb="FFFF0000"/>
        <rFont val="等线"/>
        <family val="3"/>
        <charset val="134"/>
      </rPr>
      <t>紛</t>
    </r>
    <r>
      <rPr>
        <sz val="11"/>
        <color theme="1"/>
        <rFont val="等线"/>
        <family val="2"/>
        <scheme val="minor"/>
      </rPr>
      <t>らわしい</t>
    </r>
    <phoneticPr fontId="1" type="noConversion"/>
  </si>
  <si>
    <t>強い</t>
    <phoneticPr fontId="1" type="noConversion"/>
  </si>
  <si>
    <t>のん気なこと言ってる場合じゃない。 现在不是说这种没危机感的话的时候。</t>
    <phoneticPr fontId="1" type="noConversion"/>
  </si>
  <si>
    <t>悠闲的，慢悠悠的</t>
    <phoneticPr fontId="1" type="noConversion"/>
  </si>
  <si>
    <t>のんきな性格（悠闲的性格）
のんきな人（慢悠悠的人）
のんきに暮らす（悠闲地生活）
のんきに構える（不慌不忙、老神在在）
のんきなことを言う（说些不着边际、没危机感的话）</t>
    <phoneticPr fontId="1" type="noConversion"/>
  </si>
  <si>
    <r>
      <t>素</t>
    </r>
    <r>
      <rPr>
        <sz val="11"/>
        <color rgb="FFFF0000"/>
        <rFont val="游ゴシック"/>
        <charset val="128"/>
      </rPr>
      <t>早</t>
    </r>
    <r>
      <rPr>
        <sz val="11"/>
        <color theme="1"/>
        <rFont val="游ゴシック"/>
        <family val="2"/>
        <charset val="128"/>
      </rPr>
      <t>い</t>
    </r>
    <phoneticPr fontId="1" type="noConversion"/>
  </si>
  <si>
    <t>偏口语、强调动作、反应很快。</t>
    <phoneticPr fontId="1" type="noConversion"/>
  </si>
  <si>
    <t>迅速</t>
    <phoneticPr fontId="1" type="noConversion"/>
  </si>
  <si>
    <t>じんそく</t>
    <phoneticPr fontId="1" type="noConversion"/>
  </si>
  <si>
    <t>更正式、更书面。强调处理速度快。</t>
    <phoneticPr fontId="1" type="noConversion"/>
  </si>
  <si>
    <t>迅速的；</t>
    <phoneticPr fontId="1" type="noConversion"/>
  </si>
  <si>
    <t>政府は迅速に対応した。政府迅速作出应对。</t>
    <phoneticPr fontId="1" type="noConversion"/>
  </si>
  <si>
    <t>迅速な対応（迅速应对）
迅速な判断（迅速判断）
迅速な処理（迅速处理）
迅速な対応が求められる（需要迅速应对）
迅速に対応する（迅速应对）
迅速に復旧する（迅速恢复）</t>
    <phoneticPr fontId="1" type="noConversion"/>
  </si>
  <si>
    <t>災害時には迅速な判断が重要だ。灾害发生时，迅速判断非常重要。</t>
    <phoneticPr fontId="1" type="noConversion"/>
  </si>
  <si>
    <t>忍者は素早く動いた。忍者动作敏捷。</t>
    <phoneticPr fontId="1" type="noConversion"/>
  </si>
  <si>
    <t>チャンスを見て素早く行動した。抓住机会很快采取了行动。</t>
    <phoneticPr fontId="1" type="noConversion"/>
  </si>
  <si>
    <t>彼は素早く立ち上がった。他很快地站了起来。</t>
    <phoneticPr fontId="1" type="noConversion"/>
  </si>
  <si>
    <t>素早い動き：敏捷的动作
素早い対応：很快的应对
素早い判断：很快的判断
素早い行動：快速行动
素早い処理：快速处理
素早く動く：动作敏捷
素早く反応する：反应很快
素早く逃げる：很快逃跑</t>
    <phoneticPr fontId="1" type="noConversion"/>
  </si>
  <si>
    <t>很快，快速，敏捷</t>
    <phoneticPr fontId="1" type="noConversion"/>
  </si>
  <si>
    <t>欲深い</t>
    <phoneticPr fontId="1" type="noConversion"/>
  </si>
  <si>
    <t>弱気</t>
    <phoneticPr fontId="1" type="noConversion"/>
  </si>
  <si>
    <t>理屈っぽい</t>
    <phoneticPr fontId="1" type="noConversion"/>
  </si>
  <si>
    <t>利己的</t>
    <phoneticPr fontId="1" type="noConversion"/>
  </si>
  <si>
    <t>理不尽</t>
    <phoneticPr fontId="1" type="noConversion"/>
  </si>
  <si>
    <t>流暢</t>
    <phoneticPr fontId="1" type="noConversion"/>
  </si>
  <si>
    <t>良好</t>
    <phoneticPr fontId="1" type="noConversion"/>
  </si>
  <si>
    <t>類型的</t>
    <phoneticPr fontId="1" type="noConversion"/>
  </si>
  <si>
    <t>冷酷</t>
    <phoneticPr fontId="1" type="noConversion"/>
  </si>
  <si>
    <t>零細</t>
    <phoneticPr fontId="1" type="noConversion"/>
  </si>
  <si>
    <t>冷淡</t>
    <phoneticPr fontId="1" type="noConversion"/>
  </si>
  <si>
    <t>歴然</t>
    <phoneticPr fontId="1" type="noConversion"/>
  </si>
  <si>
    <t>劣等</t>
    <phoneticPr fontId="1" type="noConversion"/>
  </si>
  <si>
    <t>優越</t>
    <phoneticPr fontId="1" type="noConversion"/>
  </si>
  <si>
    <t>露骨</t>
    <phoneticPr fontId="1" type="noConversion"/>
  </si>
  <si>
    <t>わざとらしい</t>
    <phoneticPr fontId="1" type="noConversion"/>
  </si>
  <si>
    <t>煩わしい</t>
    <phoneticPr fontId="1" type="noConversion"/>
  </si>
  <si>
    <t>僅か</t>
    <phoneticPr fontId="1" type="noConversion"/>
  </si>
  <si>
    <t>僅かな差で負けた。 以微弱的差距输了。</t>
    <phoneticPr fontId="1" type="noConversion"/>
  </si>
  <si>
    <t>まだ僅かな希望は残っている。 还剩下一丝希望。</t>
    <phoneticPr fontId="1" type="noConversion"/>
  </si>
  <si>
    <t>僅かな時間でも勉強したい。 哪怕只有一点时间也想学习。</t>
    <phoneticPr fontId="1" type="noConversion"/>
  </si>
  <si>
    <t>僅かな差
僅かな希望
僅かな時間
僅かな利益
僅かな可能性
僅かな傷</t>
    <phoneticPr fontId="1" type="noConversion"/>
  </si>
  <si>
    <t>微小的、少量的</t>
    <phoneticPr fontId="1" type="noConversion"/>
  </si>
  <si>
    <t>理想的</t>
    <phoneticPr fontId="1" type="noConversion"/>
  </si>
  <si>
    <t>意外にも健康を気にする人はわずかでした。意外的是在意健康的人很少</t>
    <phoneticPr fontId="1" type="noConversion"/>
  </si>
  <si>
    <t>相応</t>
    <phoneticPr fontId="1" type="noConversion"/>
  </si>
  <si>
    <t>早急</t>
    <phoneticPr fontId="1" type="noConversion"/>
  </si>
  <si>
    <t>壮健</t>
    <phoneticPr fontId="1" type="noConversion"/>
  </si>
  <si>
    <t>壮大</t>
    <phoneticPr fontId="1" type="noConversion"/>
  </si>
  <si>
    <t>そっけない</t>
    <phoneticPr fontId="1" type="noConversion"/>
  </si>
  <si>
    <t>ぞんざい</t>
  </si>
  <si>
    <t>ぞんざい</t>
    <phoneticPr fontId="1" type="noConversion"/>
  </si>
  <si>
    <t>大胆</t>
    <phoneticPr fontId="1" type="noConversion"/>
  </si>
  <si>
    <t>台無し</t>
    <phoneticPr fontId="1" type="noConversion"/>
  </si>
  <si>
    <t>怠慢</t>
    <phoneticPr fontId="1" type="noConversion"/>
  </si>
  <si>
    <t>高飛車</t>
    <phoneticPr fontId="1" type="noConversion"/>
  </si>
  <si>
    <t>多岐</t>
    <phoneticPr fontId="1" type="noConversion"/>
  </si>
  <si>
    <t>愛くるしい</t>
    <phoneticPr fontId="1" type="noConversion"/>
  </si>
  <si>
    <t>あくどい</t>
  </si>
  <si>
    <t>あくどい</t>
    <phoneticPr fontId="1" type="noConversion"/>
  </si>
  <si>
    <t>浅はか</t>
    <phoneticPr fontId="1" type="noConversion"/>
  </si>
  <si>
    <t>浅ましい</t>
    <phoneticPr fontId="1" type="noConversion"/>
  </si>
  <si>
    <t>朝飯前</t>
    <phoneticPr fontId="1" type="noConversion"/>
  </si>
  <si>
    <t>あっけない</t>
    <phoneticPr fontId="1" type="noConversion"/>
  </si>
  <si>
    <t>圧倒的</t>
    <phoneticPr fontId="1" type="noConversion"/>
  </si>
  <si>
    <t>あべこべ</t>
  </si>
  <si>
    <t>あべこべ</t>
    <phoneticPr fontId="1" type="noConversion"/>
  </si>
  <si>
    <t>甘口</t>
    <phoneticPr fontId="1" type="noConversion"/>
  </si>
  <si>
    <t>あやふや</t>
  </si>
  <si>
    <t>あやふや</t>
    <phoneticPr fontId="1" type="noConversion"/>
  </si>
  <si>
    <t>荒っぽい</t>
    <phoneticPr fontId="1" type="noConversion"/>
  </si>
  <si>
    <t>あいくるしい</t>
  </si>
  <si>
    <t>あくしつ</t>
  </si>
  <si>
    <t>あさはか</t>
  </si>
  <si>
    <t>あさましい</t>
  </si>
  <si>
    <t>あさめしまえ</t>
  </si>
  <si>
    <t>あざやか</t>
  </si>
  <si>
    <t>あっとうてき</t>
  </si>
  <si>
    <t>あぶなげない</t>
  </si>
  <si>
    <t>あまくち</t>
  </si>
  <si>
    <t>あらっぽい</t>
  </si>
  <si>
    <t>ありきたり</t>
  </si>
  <si>
    <t>ありのまま</t>
  </si>
  <si>
    <t>あんせい</t>
  </si>
  <si>
    <t>いかん</t>
  </si>
  <si>
    <t>いき</t>
  </si>
  <si>
    <t>いさぎよい</t>
  </si>
  <si>
    <t>いたましい</t>
  </si>
  <si>
    <t>いちよう</t>
  </si>
  <si>
    <t>いちりつ</t>
  </si>
  <si>
    <t>いとしい</t>
  </si>
  <si>
    <t>いなめない</t>
  </si>
  <si>
    <t>いやしい</t>
  </si>
  <si>
    <t>いやみ</t>
  </si>
  <si>
    <t>いやらしい</t>
  </si>
  <si>
    <t>いりよう</t>
  </si>
  <si>
    <t>いんき</t>
  </si>
  <si>
    <t>いんしつ</t>
  </si>
  <si>
    <t>うかつ</t>
  </si>
  <si>
    <t>うしろむき</t>
  </si>
  <si>
    <t>うしろめたい</t>
  </si>
  <si>
    <t>うちき</t>
  </si>
  <si>
    <t>うつろ</t>
  </si>
  <si>
    <t>うやうやしい</t>
  </si>
  <si>
    <t>うるわしい</t>
  </si>
  <si>
    <t>うれい</t>
  </si>
  <si>
    <t>うわき</t>
    <phoneticPr fontId="1" type="noConversion"/>
  </si>
  <si>
    <r>
      <rPr>
        <sz val="11"/>
        <color rgb="FFFF0000"/>
        <rFont val="等线"/>
        <family val="3"/>
        <charset val="134"/>
      </rPr>
      <t>鮮</t>
    </r>
    <r>
      <rPr>
        <sz val="11"/>
        <color theme="1"/>
        <rFont val="等线"/>
        <family val="2"/>
        <scheme val="minor"/>
      </rPr>
      <t>やか</t>
    </r>
    <phoneticPr fontId="1" type="noConversion"/>
  </si>
  <si>
    <t>惹人喜爱</t>
    <phoneticPr fontId="1" type="noConversion"/>
  </si>
  <si>
    <t>愛くるしい笑顔。惹人喜爱的笑容
愛くるしい顔。可爱的脸蛋
愛くるしい姿。惹人喜爱的模样
愛くるしい子供。可爱的孩子
愛くるしい仕草。可爱的动作、举止
愛くるしい目。惹人喜爱的眼睛</t>
    <phoneticPr fontId="1" type="noConversion"/>
  </si>
  <si>
    <t>その子の愛くるしい笑顔が印象に残った。那个孩子惹人喜爱的笑容给我留下了深刻印象。</t>
    <phoneticPr fontId="1" type="noConversion"/>
  </si>
  <si>
    <t>愛くるしい仕草に思わず笑ってしまった。看到那可爱的动作，我不禁笑了出来。</t>
    <phoneticPr fontId="1" type="noConversion"/>
  </si>
  <si>
    <t>彼女は愛くるしい顔をしている。她长着一张惹人喜爱的脸。</t>
    <phoneticPr fontId="1" type="noConversion"/>
  </si>
  <si>
    <t>子猫の愛くるしい姿に癒された。小猫可爱的模样让我感到很治愈。</t>
    <phoneticPr fontId="1" type="noConversion"/>
  </si>
  <si>
    <t>あくどいやり方。恶劣的做法
あくどい商売。缺德的生意
あくどい商法。恶劣的经营手段
あくどい手口。恶劣的手段
あくどいことをする。做缺德的事
あくどく稼ぐ。用不正当手段赚钱</t>
    <phoneticPr fontId="1" type="noConversion"/>
  </si>
  <si>
    <t>恶劣、缺德</t>
    <phoneticPr fontId="1" type="noConversion"/>
  </si>
  <si>
    <t>あくどいやり方で客から金を取っている。用恶劣的手段从客人那里骗钱。</t>
    <phoneticPr fontId="1" type="noConversion"/>
  </si>
  <si>
    <t>そんなあくどい商売はやめたほうがいい。还是别做那么缺德的生意比较好。</t>
    <phoneticPr fontId="1" type="noConversion"/>
  </si>
  <si>
    <t>あの店はあくどい手口で客をだましている。那家店用恶劣的手段欺骗顾客。</t>
    <phoneticPr fontId="1" type="noConversion"/>
  </si>
  <si>
    <t>彼はあくどく金を稼いでいる。他用不正当的手段赚钱。</t>
    <phoneticPr fontId="1" type="noConversion"/>
  </si>
  <si>
    <t>明知道这样做不厚道，还是为了自己的利益故意这么做。</t>
    <phoneticPr fontId="1" type="noConversion"/>
  </si>
  <si>
    <t>稳妥、毫无危险</t>
    <phoneticPr fontId="1" type="noConversion"/>
  </si>
  <si>
    <t>彼は危なげなく試験に合格した。他很稳当地通过了考试。</t>
    <phoneticPr fontId="1" type="noConversion"/>
  </si>
  <si>
    <t>強豪相手にも危なげなく勝利した。面对强敌也稳稳地取得了胜利。</t>
    <phoneticPr fontId="1" type="noConversion"/>
  </si>
  <si>
    <t>彼女は難しい仕事を危なげなくこなした。她稳稳当当地完成了困难的工作。</t>
    <phoneticPr fontId="1" type="noConversion"/>
  </si>
  <si>
    <t>試合を最後まで危なげなく進めた。比赛一直稳稳当当地进行到了最后。</t>
    <phoneticPr fontId="1" type="noConversion"/>
  </si>
  <si>
    <t>危なげなく勝つ。稳稳地获胜
危なげなく成功する。顺利成功
危なげなく進める。稳妥地推进
危なげなくこなす。稳稳当当地完成
危なげない試合運び。稳健的比赛进行方式
危なげない走り。稳健的跑法
危なげない投球。稳定的投球</t>
    <phoneticPr fontId="1" type="noConversion"/>
  </si>
  <si>
    <r>
      <rPr>
        <sz val="11"/>
        <color rgb="FFFF0000"/>
        <rFont val="等线"/>
        <family val="3"/>
        <charset val="134"/>
      </rPr>
      <t>危</t>
    </r>
    <r>
      <rPr>
        <sz val="11"/>
        <color theme="1"/>
        <rFont val="等线"/>
        <family val="2"/>
        <scheme val="minor"/>
      </rPr>
      <t>なげない</t>
    </r>
    <phoneticPr fontId="1" type="noConversion"/>
  </si>
  <si>
    <t>看起来完全不会出问题，让人很放心。　=安心</t>
    <phoneticPr fontId="1" type="noConversion"/>
  </si>
  <si>
    <t>含糊、不确定</t>
    <phoneticPr fontId="1" type="noConversion"/>
  </si>
  <si>
    <t>あやふやな記憶。模糊的记忆
あやふやな返事。含糊的回答
あやふやな説明。含糊的说明
あやふやな態度。暧昧、不明确的态度
あやふやなまま。就这样含糊不清
記憶があやふやだ。记忆模糊
答えがあやふやだ。答案不确定
あやふやにする。把事情弄得含糊不清</t>
    <phoneticPr fontId="1" type="noConversion"/>
  </si>
  <si>
    <t>昔のことなので、記憶があやふやだ。因为是很久以前的事了，记忆已经模糊了。</t>
    <phoneticPr fontId="1" type="noConversion"/>
  </si>
  <si>
    <t>彼は質問にあやふやな返事をした。他对问题给出了含糊的回答。</t>
    <phoneticPr fontId="1" type="noConversion"/>
  </si>
  <si>
    <t>あやふやな説明では、誰も納得しない。含糊不清的说明谁都不会信服。</t>
    <phoneticPr fontId="1" type="noConversion"/>
  </si>
  <si>
    <t>分からないことをあやふやなままにしないでください。不要把不明白的事情就这样含糊过去。</t>
    <phoneticPr fontId="1" type="noConversion"/>
  </si>
  <si>
    <t>不明确，自己也说不清楚。</t>
    <phoneticPr fontId="1" type="noConversion"/>
  </si>
  <si>
    <t>ありきたりな答えしか思いつかなかった。我只能想到很普通的答案。</t>
    <phoneticPr fontId="1" type="noConversion"/>
  </si>
  <si>
    <t>これはどこにでもあるありきたりな話だ。这是一个随处可见的老套故事。</t>
    <phoneticPr fontId="1" type="noConversion"/>
  </si>
  <si>
    <t>ありきたりな表現では、この気持ちを伝えられない。用老套的表达无法传达这种心情。</t>
    <phoneticPr fontId="1" type="noConversion"/>
  </si>
  <si>
    <t>ありきたりの方法では問題を解決できない。用普通的方法解决不了这个问题。</t>
    <phoneticPr fontId="1" type="noConversion"/>
  </si>
  <si>
    <t>很普通，没有什么新意。</t>
    <phoneticPr fontId="1" type="noConversion"/>
  </si>
  <si>
    <t>老套、平常</t>
    <phoneticPr fontId="1" type="noConversion"/>
  </si>
  <si>
    <t>せわしい</t>
  </si>
  <si>
    <t>せわしい</t>
    <phoneticPr fontId="1" type="noConversion"/>
  </si>
  <si>
    <t>繊細</t>
    <phoneticPr fontId="1" type="noConversion"/>
  </si>
  <si>
    <t>先天的</t>
    <phoneticPr fontId="1" type="noConversion"/>
  </si>
  <si>
    <t>善良</t>
    <phoneticPr fontId="1" type="noConversion"/>
  </si>
  <si>
    <t>整然</t>
    <phoneticPr fontId="1" type="noConversion"/>
  </si>
  <si>
    <t>盛大</t>
    <phoneticPr fontId="1" type="noConversion"/>
  </si>
  <si>
    <t>静的</t>
    <phoneticPr fontId="1" type="noConversion"/>
  </si>
  <si>
    <t>精密</t>
    <phoneticPr fontId="1" type="noConversion"/>
  </si>
  <si>
    <t>切実</t>
    <phoneticPr fontId="1" type="noConversion"/>
  </si>
  <si>
    <t>切ない</t>
    <phoneticPr fontId="1" type="noConversion"/>
  </si>
  <si>
    <t>擦れ擦れ</t>
    <phoneticPr fontId="1" type="noConversion"/>
  </si>
  <si>
    <t>正規</t>
    <phoneticPr fontId="1" type="noConversion"/>
  </si>
  <si>
    <t>性急</t>
    <phoneticPr fontId="1" type="noConversion"/>
  </si>
  <si>
    <t>精巧</t>
    <phoneticPr fontId="1" type="noConversion"/>
  </si>
  <si>
    <t>精細</t>
    <phoneticPr fontId="1" type="noConversion"/>
  </si>
  <si>
    <t>清純</t>
    <phoneticPr fontId="1" type="noConversion"/>
  </si>
  <si>
    <t>しんどい</t>
  </si>
  <si>
    <t>しんどい</t>
    <phoneticPr fontId="1" type="noConversion"/>
  </si>
  <si>
    <r>
      <t>神</t>
    </r>
    <r>
      <rPr>
        <sz val="11"/>
        <color rgb="FFFF0000"/>
        <rFont val="等线"/>
        <family val="3"/>
        <charset val="134"/>
      </rPr>
      <t>秘</t>
    </r>
    <phoneticPr fontId="1" type="noConversion"/>
  </si>
  <si>
    <t>辛抱強い</t>
    <phoneticPr fontId="1" type="noConversion"/>
  </si>
  <si>
    <t>親密</t>
    <phoneticPr fontId="1" type="noConversion"/>
  </si>
  <si>
    <t>清々しい</t>
    <phoneticPr fontId="1" type="noConversion"/>
  </si>
  <si>
    <t>凄まじい</t>
    <phoneticPr fontId="1" type="noConversion"/>
  </si>
  <si>
    <t>じれったい</t>
  </si>
  <si>
    <t>じれったい</t>
    <phoneticPr fontId="1" type="noConversion"/>
  </si>
  <si>
    <t>神経質</t>
    <phoneticPr fontId="1" type="noConversion"/>
  </si>
  <si>
    <t>真実</t>
    <phoneticPr fontId="1" type="noConversion"/>
  </si>
  <si>
    <t>試合はあっけなく終わった。比赛出乎意料地很快就结束了。</t>
    <phoneticPr fontId="1" type="noConversion"/>
  </si>
  <si>
    <t>強そうな相手だったのに、あっけなく負けてしまった。对手看起来很强，结果却轻易地输了。</t>
    <phoneticPr fontId="1" type="noConversion"/>
  </si>
  <si>
    <t>何時間も待ったのに、話し合いはあっけなく終わった。等了好几个小时，结果谈话一下子就结束了。</t>
    <phoneticPr fontId="1" type="noConversion"/>
  </si>
  <si>
    <t>最後はあっけない結末だった。最后的结局让人觉得太仓促了。</t>
    <phoneticPr fontId="1" type="noConversion"/>
  </si>
  <si>
    <t>あっけなく終わる。轻易地结束
あっけなく負ける。轻易落败
あっけなく勝つ。轻易获胜
あっけなく倒れる。一下子倒下
あっけない結末。出乎意料地仓促的结局
あっけない最後。令人觉得太快的结局
あっけなく敗れる。轻易败北</t>
    <phoneticPr fontId="1" type="noConversion"/>
  </si>
  <si>
    <t>“本来以为会有一场大战 → 结果三分钟结束 → ……就这？”</t>
    <phoneticPr fontId="1" type="noConversion"/>
  </si>
  <si>
    <t>出乎意料地轻易、短暂(不尽兴，就这….)</t>
    <phoneticPr fontId="1" type="noConversion"/>
  </si>
  <si>
    <t>得手</t>
    <phoneticPr fontId="1" type="noConversion"/>
  </si>
  <si>
    <t>円滑</t>
    <phoneticPr fontId="1" type="noConversion"/>
  </si>
  <si>
    <t>婉曲</t>
    <phoneticPr fontId="1" type="noConversion"/>
  </si>
  <si>
    <t>円満</t>
    <phoneticPr fontId="1" type="noConversion"/>
  </si>
  <si>
    <t>旺盛</t>
    <phoneticPr fontId="1" type="noConversion"/>
  </si>
  <si>
    <t>横着</t>
    <phoneticPr fontId="1" type="noConversion"/>
  </si>
  <si>
    <t>大柄</t>
    <phoneticPr fontId="1" type="noConversion"/>
  </si>
  <si>
    <t>大まか</t>
    <phoneticPr fontId="1" type="noConversion"/>
  </si>
  <si>
    <t>大らか</t>
    <phoneticPr fontId="1" type="noConversion"/>
  </si>
  <si>
    <t>奥深い</t>
    <phoneticPr fontId="1" type="noConversion"/>
  </si>
  <si>
    <t>奥床しい</t>
    <phoneticPr fontId="1" type="noConversion"/>
  </si>
  <si>
    <t>厳か</t>
    <phoneticPr fontId="1" type="noConversion"/>
  </si>
  <si>
    <t>荘厳</t>
    <phoneticPr fontId="1" type="noConversion"/>
  </si>
  <si>
    <t>お節介</t>
    <phoneticPr fontId="1" type="noConversion"/>
  </si>
  <si>
    <t>おっかない</t>
    <phoneticPr fontId="1" type="noConversion"/>
  </si>
  <si>
    <t>億劫</t>
    <phoneticPr fontId="1" type="noConversion"/>
  </si>
  <si>
    <t>おっちょこちょい</t>
    <phoneticPr fontId="1" type="noConversion"/>
  </si>
  <si>
    <t>重苦しい</t>
    <phoneticPr fontId="1" type="noConversion"/>
  </si>
  <si>
    <t>思わしい</t>
    <phoneticPr fontId="1" type="noConversion"/>
  </si>
  <si>
    <t>親孝行</t>
    <phoneticPr fontId="1" type="noConversion"/>
  </si>
  <si>
    <t>温和</t>
    <phoneticPr fontId="1" type="noConversion"/>
  </si>
  <si>
    <t>皆無</t>
    <phoneticPr fontId="1" type="noConversion"/>
  </si>
  <si>
    <t>輝かしい</t>
    <phoneticPr fontId="1" type="noConversion"/>
  </si>
  <si>
    <t>果敢</t>
    <phoneticPr fontId="1" type="noConversion"/>
  </si>
  <si>
    <t>格段</t>
    <phoneticPr fontId="1" type="noConversion"/>
  </si>
  <si>
    <t>格別</t>
    <phoneticPr fontId="1" type="noConversion"/>
  </si>
  <si>
    <t>過激</t>
    <phoneticPr fontId="1" type="noConversion"/>
  </si>
  <si>
    <t>過酷</t>
    <phoneticPr fontId="1" type="noConversion"/>
  </si>
  <si>
    <t>かすか</t>
  </si>
  <si>
    <t>大げさな話。夸张的说法
大げさな表現。夸张的表达
大げさに言う。说得很夸张
大げさに騒ぐ。大惊小怪
大げさに考える。把事情想得太严重
大げさに言えば。夸张一点说
大げさすぎる。太夸张了
大げさなリアクション。夸张的反应</t>
    <phoneticPr fontId="1" type="noConversion"/>
  </si>
  <si>
    <t>おおげさ</t>
    <phoneticPr fontId="1" type="noConversion"/>
  </si>
  <si>
    <t>そんなに大げさに言わなくてもいいよ。不用说得那么夸张。</t>
    <phoneticPr fontId="1" type="noConversion"/>
  </si>
  <si>
    <t>彼は何でも大げさに話す。他什么事情都说得很夸张。</t>
    <phoneticPr fontId="1" type="noConversion"/>
  </si>
  <si>
    <t>ちょっと転んだだけなのに、大げさに騒いでいる。明明只是摔了一跤，却在那里大惊小怪。</t>
    <phoneticPr fontId="1" type="noConversion"/>
  </si>
  <si>
    <t>大げさに聞こえるかもしれないけど、本当に怖かった。可能听起来有点夸张，但当时真的很害怕。</t>
    <phoneticPr fontId="1" type="noConversion"/>
  </si>
  <si>
    <t>夸张</t>
    <phoneticPr fontId="1" type="noConversion"/>
  </si>
  <si>
    <t>おおまか</t>
    <phoneticPr fontId="1" type="noConversion"/>
  </si>
  <si>
    <t>大まかな内容。大致内容
大まかな計画。大致计划
大まかな流れ。大致流程
大まかな説明。粗略说明
大まかな見積もり。大致估算
大まかに分ける。大致分类
大まかに説明する。大致说明
大まかに言えば。大致来说</t>
    <phoneticPr fontId="1" type="noConversion"/>
  </si>
  <si>
    <t>不管细节 → 先看整体、抓个大概。</t>
    <phoneticPr fontId="1" type="noConversion"/>
  </si>
  <si>
    <t>まず大まかな計画を立てましょう。先制定一个大致的计划吧。</t>
    <phoneticPr fontId="1" type="noConversion"/>
  </si>
  <si>
    <t>大まかな流れを説明します。我来说明一下大致流程。</t>
    <phoneticPr fontId="1" type="noConversion"/>
  </si>
  <si>
    <t>詳細は後で決めて、今は大まかに考えましょう。细节之后再决定，现在先大致考虑一下。</t>
    <phoneticPr fontId="1" type="noConversion"/>
  </si>
  <si>
    <t>大まかに言えば、この二つの方法には違いがありません。大致来说，这两种方法没有区别。</t>
    <phoneticPr fontId="1" type="noConversion"/>
  </si>
  <si>
    <t>あの人、顔が怖くておっかない。那个人长得很凶，看起来很可怕。</t>
    <phoneticPr fontId="1" type="noConversion"/>
  </si>
  <si>
    <t>夜に一人で歩くのはおっかない。晚上一个人走路很吓人。</t>
    <phoneticPr fontId="1" type="noConversion"/>
  </si>
  <si>
    <t>そんなおっかない話をしないでよ。别讲那么吓人的故事啊。</t>
    <phoneticPr fontId="1" type="noConversion"/>
  </si>
  <si>
    <t>おっかなくて、そこには近づけなかった。因为害怕，所以没敢靠近那里。</t>
    <phoneticPr fontId="1" type="noConversion"/>
  </si>
  <si>
    <t>与怖い意思完全一样，但是比怖い更口语</t>
    <phoneticPr fontId="1" type="noConversion"/>
  </si>
  <si>
    <t>可怕、吓人</t>
    <phoneticPr fontId="1" type="noConversion"/>
  </si>
  <si>
    <t>おっかない人。可怕的人
おっかない顔。可怕的表情
おっかない話。可怕的故事
おっかない目に遭う。遇到可怕的事情
おっかなくて近づけない。因为害怕而不敢靠近
おっかないな。真吓人啊</t>
    <phoneticPr fontId="1" type="noConversion"/>
  </si>
  <si>
    <t>今日は疲れていて、出かけるのが億劫だ。今天很累，懒得出门。</t>
    <phoneticPr fontId="1" type="noConversion"/>
  </si>
  <si>
    <t>メールを返すのも億劫になってきた。连回复邮件都渐渐觉得麻烦了。</t>
    <phoneticPr fontId="1" type="noConversion"/>
  </si>
  <si>
    <t>わざわざ電車に乗って行くのは億劫だ。特意坐电车去，感觉很麻烦。</t>
    <phoneticPr fontId="1" type="noConversion"/>
  </si>
  <si>
    <t>最近、料理をするのが億劫になった。最近变得懒得做饭了。</t>
    <phoneticPr fontId="1" type="noConversion"/>
  </si>
  <si>
    <t>おっくう</t>
    <phoneticPr fontId="1" type="noConversion"/>
  </si>
  <si>
    <t>嫌麻烦、不想动</t>
    <phoneticPr fontId="1" type="noConversion"/>
  </si>
  <si>
    <t>億劫：重点是自己觉得懒、不想动。
面倒：重点是事情本身麻烦、费事。</t>
    <phoneticPr fontId="1" type="noConversion"/>
  </si>
  <si>
    <t>事故現場には夥しい数の人が集まっていた。事故现场聚集了大量的人。</t>
    <phoneticPr fontId="1" type="noConversion"/>
  </si>
  <si>
    <t>夥しい量のゴミが捨てられていた。那里被丢弃了大量的垃圾。</t>
    <phoneticPr fontId="1" type="noConversion"/>
  </si>
  <si>
    <t>その事件で夥しい被害が出た。那起事件造成了巨大的损失。</t>
    <phoneticPr fontId="1" type="noConversion"/>
  </si>
  <si>
    <t>彼の机には夥しい数の書類が積まれている。他的桌子上堆着大量的文件。</t>
    <phoneticPr fontId="1" type="noConversion"/>
  </si>
  <si>
    <t>夥しい数。数量极多
夥しい人。大量的人
夥しい量。巨大的数量
夥しい数の人。大量的人
夥しい血。大量的血
夥しい被害。巨大的损失
夥しい情報。海量的信息
夥しい数のミス。大量的错误</t>
    <phoneticPr fontId="1" type="noConversion"/>
  </si>
  <si>
    <t>大量、极多</t>
    <phoneticPr fontId="1" type="noConversion"/>
  </si>
  <si>
    <t>强调多得惊人、数量庞大到令人印象深刻</t>
    <phoneticPr fontId="1" type="noConversion"/>
  </si>
  <si>
    <t>おびただしい</t>
    <phoneticPr fontId="1" type="noConversion"/>
  </si>
  <si>
    <t>覚束ない記憶。模糊、不可靠的记忆
覚束ない足取り。踉踉跄跄的脚步
覚束ない手つき。笨拙、不熟练的动作
成功するか覚束ない。不知道能不能成功
先行きが覚束ない。前景不明朗
覚束ない状態。不稳定、不可靠的状态
覚束ない日本語。不太可靠、说得不流利的日语</t>
    <phoneticPr fontId="1" type="noConversion"/>
  </si>
  <si>
    <t>こんな準備で本当に成功するのか覚束ない。准备成这样，实在没把握能不能成功。</t>
    <phoneticPr fontId="1" type="noConversion"/>
  </si>
  <si>
    <t>彼の記憶はかなり覚束ない。他的记忆相当模糊、不太可靠。</t>
    <phoneticPr fontId="1" type="noConversion"/>
  </si>
  <si>
    <t>酔っていて、足元が覚束ない。他喝醉了，脚步踉跄。</t>
    <phoneticPr fontId="1" type="noConversion"/>
  </si>
  <si>
    <t>経験が少なく、仕事ぶりもまだ覚束ない。因为经验少，工作起来还不太熟练、让人不太放心。</t>
    <phoneticPr fontId="1" type="noConversion"/>
  </si>
  <si>
    <t>おぼつかない</t>
    <phoneticPr fontId="1" type="noConversion"/>
  </si>
  <si>
    <r>
      <t>覚</t>
    </r>
    <r>
      <rPr>
        <sz val="11"/>
        <color rgb="FFFF0000"/>
        <rFont val="等线"/>
        <family val="3"/>
        <charset val="134"/>
      </rPr>
      <t>束</t>
    </r>
    <r>
      <rPr>
        <sz val="11"/>
        <color theme="1"/>
        <rFont val="等线"/>
        <family val="2"/>
        <scheme val="minor"/>
      </rPr>
      <t>ない</t>
    </r>
    <phoneticPr fontId="1" type="noConversion"/>
  </si>
  <si>
    <t>强调能不能顺利进行、能不能做到，心里没把握，也可以形容动作不稳。</t>
    <phoneticPr fontId="1" type="noConversion"/>
  </si>
  <si>
    <t>没把握、不稳，让人无法放心</t>
    <phoneticPr fontId="1" type="noConversion"/>
  </si>
  <si>
    <t>含蓄有韵味</t>
    <phoneticPr fontId="1" type="noConversion"/>
  </si>
  <si>
    <t>おくゆかしい</t>
    <phoneticPr fontId="1" type="noConversion"/>
  </si>
  <si>
    <t>奥床しい人。含蓄而有韵味的人
奥床しい女性。举止含蓄优雅的女性
奥床しい趣味。含蓄而有情趣
奥床しい雰囲気。含蓄雅致的氛围
奥床しい風情。含蓄而有韵味的风情
奥床しい美しさ。含蓄的美感
奥床しい趣がある。有一种含蓄雅致的韵味</t>
    <phoneticPr fontId="1" type="noConversion"/>
  </si>
  <si>
    <t>彼女の奥床しい態度がとても印象的だった。她那含蓄优雅的态度给人留下了很深的印象。</t>
    <phoneticPr fontId="1" type="noConversion"/>
  </si>
  <si>
    <t>この庭には奥床しい趣がある。这个庭院有一种含蓄雅致的韵味。</t>
    <phoneticPr fontId="1" type="noConversion"/>
  </si>
  <si>
    <t>彼は奥床しい人柄で、周囲から好かれている。他为人含蓄有内涵，很受周围人的喜欢。</t>
    <phoneticPr fontId="1" type="noConversion"/>
  </si>
  <si>
    <t>派手ではないが、奥床しい美しさを感じる。虽然并不华丽，却能感受到一种含蓄的美。</t>
    <phoneticPr fontId="1" type="noConversion"/>
  </si>
  <si>
    <t>奥深い意味。深奥的含义
奥深い世界。深奥的世界
奥深い文化。深厚而深奥的文化
奥深い知識。深厚的知识
奥深い魅力。深层的魅力
奥深い味わい。深厚的韵味
奥深いテーマ。深奥的主题
奥深さを感じる。感受到深度</t>
    <phoneticPr fontId="1" type="noConversion"/>
  </si>
  <si>
    <t>日本語は勉強すればするほど奥深いと感じる。越学习日语，越觉得它博大精深。</t>
    <phoneticPr fontId="1" type="noConversion"/>
  </si>
  <si>
    <t>この作品には奥深い意味がある。这部作品有着深奥的含义。</t>
    <phoneticPr fontId="1" type="noConversion"/>
  </si>
  <si>
    <t>日本の文化はとても奥深い。日本文化非常深奥。</t>
    <phoneticPr fontId="1" type="noConversion"/>
  </si>
  <si>
    <t>この料理には奥深い味わいがある。这道料理有一种深厚而复杂的味道。</t>
    <phoneticPr fontId="1" type="noConversion"/>
  </si>
  <si>
    <t>深奥、有深度</t>
    <phoneticPr fontId="1" type="noConversion"/>
  </si>
  <si>
    <t>越深入了解，越发现里面还有更多东西。</t>
    <phoneticPr fontId="1" type="noConversion"/>
  </si>
  <si>
    <t>おくぶかい</t>
    <phoneticPr fontId="1" type="noConversion"/>
  </si>
  <si>
    <t>彼は大らかな性格で、細かいことを気にしない。他性格宽厚，不在意小事。</t>
    <phoneticPr fontId="1" type="noConversion"/>
  </si>
  <si>
    <t>大らかな人なので、多少の失敗は笑って許してくれる。因为他很宽容，所以一些小失误也会笑着原谅。</t>
    <phoneticPr fontId="1" type="noConversion"/>
  </si>
  <si>
    <t>子供を大らかに育てたい。我想宽松地培养孩子。</t>
    <phoneticPr fontId="1" type="noConversion"/>
  </si>
  <si>
    <t>彼女は何事にも大らかに対応する。她对什么事情都能以宽容从容的态度应对。</t>
    <phoneticPr fontId="1" type="noConversion"/>
  </si>
  <si>
    <t>大らかな性格。宽厚大度的性格
大らかな人。宽容大度的人
大らかな気持ち。宽容的心态
大らかに受け止める。宽容地接受
大らかに育てる。宽松地培养
大らかに構える。保持从容、宽大的态度</t>
    <phoneticPr fontId="1" type="noConversion"/>
  </si>
  <si>
    <t>不在小事情上斤斤计较，心胸比较宽，能包容别人。</t>
    <phoneticPr fontId="1" type="noConversion"/>
  </si>
  <si>
    <t>宽容、大度、宽厚</t>
    <phoneticPr fontId="1" type="noConversion"/>
  </si>
  <si>
    <t>おおらか</t>
    <phoneticPr fontId="1" type="noConversion"/>
  </si>
  <si>
    <t>臆病な人。胆小的人
臆病な性格。胆小的性格
臆病になる。变得胆小、畏缩
臆病である。很胆小
臆病な考え方。畏缩的想法
臆病な自分。胆小的自己
臆病風に吹かれる。变得胆怯、畏缩</t>
    <phoneticPr fontId="1" type="noConversion"/>
  </si>
  <si>
    <t>彼は臆病な性格で、新しいことに挑戦するのが苦手だ。他性格胆小，不擅长挑战新事物。</t>
    <phoneticPr fontId="1" type="noConversion"/>
  </si>
  <si>
    <t>失敗を恐れて臆病になってはいけない。不能因为害怕失败而变得畏缩。</t>
    <phoneticPr fontId="1" type="noConversion"/>
  </si>
  <si>
    <t>私は昔、かなり臆病だった。我以前相当胆小。</t>
    <phoneticPr fontId="1" type="noConversion"/>
  </si>
  <si>
    <t>臆病にならずに、一歩踏み出してみよう。不要畏缩，试着迈出一步吧。</t>
    <phoneticPr fontId="1" type="noConversion"/>
  </si>
  <si>
    <t>自在</t>
    <phoneticPr fontId="1" type="noConversion"/>
  </si>
  <si>
    <t>執拗</t>
    <phoneticPr fontId="1" type="noConversion"/>
  </si>
  <si>
    <t>淑やか</t>
    <phoneticPr fontId="1" type="noConversion"/>
  </si>
  <si>
    <t>しどろもどろ</t>
    <phoneticPr fontId="1" type="noConversion"/>
  </si>
  <si>
    <t>品薄</t>
    <phoneticPr fontId="1" type="noConversion"/>
  </si>
  <si>
    <t>しなやか</t>
    <phoneticPr fontId="1" type="noConversion"/>
  </si>
  <si>
    <t>柔軟</t>
    <phoneticPr fontId="1" type="noConversion"/>
  </si>
  <si>
    <t>渋い</t>
    <phoneticPr fontId="1" type="noConversion"/>
  </si>
  <si>
    <t>しぶとい</t>
  </si>
  <si>
    <t>しぶとい</t>
    <phoneticPr fontId="1" type="noConversion"/>
  </si>
  <si>
    <t>種々</t>
    <phoneticPr fontId="1" type="noConversion"/>
  </si>
  <si>
    <t>上機嫌</t>
    <phoneticPr fontId="1" type="noConversion"/>
  </si>
  <si>
    <t>不機嫌</t>
    <phoneticPr fontId="1" type="noConversion"/>
  </si>
  <si>
    <t>詳細</t>
    <phoneticPr fontId="1" type="noConversion"/>
  </si>
  <si>
    <t>粉々</t>
    <phoneticPr fontId="1" type="noConversion"/>
  </si>
  <si>
    <t>好ましい</t>
    <phoneticPr fontId="1" type="noConversion"/>
  </si>
  <si>
    <t>細やか</t>
    <phoneticPr fontId="1" type="noConversion"/>
  </si>
  <si>
    <t>固有</t>
    <phoneticPr fontId="1" type="noConversion"/>
  </si>
  <si>
    <t>言語道断</t>
    <phoneticPr fontId="1" type="noConversion"/>
  </si>
  <si>
    <t>根本的</t>
    <phoneticPr fontId="1" type="noConversion"/>
  </si>
  <si>
    <t>最悪</t>
    <phoneticPr fontId="1" type="noConversion"/>
  </si>
  <si>
    <t>細心</t>
    <phoneticPr fontId="1" type="noConversion"/>
  </si>
  <si>
    <t>殺風景</t>
    <phoneticPr fontId="1" type="noConversion"/>
  </si>
  <si>
    <t>柔韧</t>
    <phoneticPr fontId="1" type="noConversion"/>
  </si>
  <si>
    <t>彼女はしなやかな動きで踊っている。她用柔韧流畅的动作跳舞。</t>
    <phoneticPr fontId="1" type="noConversion"/>
  </si>
  <si>
    <t>毎日ストレッチをして、しなやかな体を目指している。每天做拉伸，努力让身体变得柔韧。</t>
    <phoneticPr fontId="1" type="noConversion"/>
  </si>
  <si>
    <t>この枝は細いが、しなやかで折れにくい。这根树枝虽然细，但很有韧性，不容易折断。</t>
    <phoneticPr fontId="1" type="noConversion"/>
  </si>
  <si>
    <t>しなやかな体。柔韧的身体
しなやかな動き。柔韧流畅的动作
しなやかな筋肉。柔韧的肌肉
しなやかな髪。柔顺有弹性的头发
しなやかな枝。柔韧的树枝
しなやかな身のこなし。柔韧优雅的动作
しなやかな強さ。柔韧的力量</t>
    <phoneticPr fontId="1" type="noConversion"/>
  </si>
  <si>
    <t>柔软而有韧性，不僵硬。柔らかい：单纯指柔软、不硬。</t>
    <phoneticPr fontId="1" type="noConversion"/>
  </si>
  <si>
    <t>心地よい</t>
    <phoneticPr fontId="1" type="noConversion"/>
  </si>
  <si>
    <t>舒适</t>
    <phoneticPr fontId="1" type="noConversion"/>
  </si>
  <si>
    <t>ここちよい</t>
    <phoneticPr fontId="1" type="noConversion"/>
  </si>
  <si>
    <t>心地よい風。舒适的风
心地よい音。悦耳的声音
心地よい香り。令人舒服的香气
心地よい温度。舒适的温度
心地よい時間。舒适、惬意的时光
心地よい眠り。舒适的睡眠
心地よい疲れ。令人舒畅的疲劳感
心地よい空間。舒适的空间
心地よく過ごす。舒适地度过</t>
    <phoneticPr fontId="1" type="noConversion"/>
  </si>
  <si>
    <t>心地よい風が吹いている。吹着令人舒服的风。</t>
    <phoneticPr fontId="1" type="noConversion"/>
  </si>
  <si>
    <t>この音楽を聞くと、とても心地よい気分になる。听这首音乐会让人感觉非常舒畅。</t>
    <phoneticPr fontId="1" type="noConversion"/>
  </si>
  <si>
    <t>温泉に入って、心地よい時間を過ごした。泡了温泉，度过了一段舒适惬意的时光。</t>
    <phoneticPr fontId="1" type="noConversion"/>
  </si>
  <si>
    <t>疲れた体に心地よい眠りだった。疲惫的身体得到了舒适的睡眠。</t>
    <phoneticPr fontId="1" type="noConversion"/>
  </si>
  <si>
    <t>心強い</t>
    <phoneticPr fontId="1" type="noConversion"/>
  </si>
  <si>
    <t>あなたが一緒にいてくれると心強い。有你陪着我，我就很安心。</t>
    <phoneticPr fontId="1" type="noConversion"/>
  </si>
  <si>
    <t>経験豊富な人がチームにいるのは心強い。团队里有经验丰富的人让人很安心。</t>
    <phoneticPr fontId="1" type="noConversion"/>
  </si>
  <si>
    <t>彼の言葉がとても心強かった。他的话给了我很大的支持。</t>
    <phoneticPr fontId="1" type="noConversion"/>
  </si>
  <si>
    <t>“有这个人在/有这个东西在，我就不用那么担心了。”</t>
    <phoneticPr fontId="1" type="noConversion"/>
  </si>
  <si>
    <t>身体或心情处在一种很舒服、很愉快的状态。</t>
    <phoneticPr fontId="1" type="noConversion"/>
  </si>
  <si>
    <t>心強い味方。可靠的帮手、强有力的支持者
心強い存在。让人安心的存在
心強い支え。可靠的支持
心強い援軍。强有力的援军
心強く感じる。感到很安心、有底气
～がいると心強い。有……在就很安心
心強い言葉。令人安心、给人力量的话</t>
    <phoneticPr fontId="1" type="noConversion"/>
  </si>
  <si>
    <t>困ったときに相談できる人がいるのは心強い。有遇到困难时可以商量的人，真的让人很有底气。</t>
    <phoneticPr fontId="1" type="noConversion"/>
  </si>
  <si>
    <t>有依靠、安心</t>
    <phoneticPr fontId="1" type="noConversion"/>
  </si>
  <si>
    <t>こころづよい</t>
    <phoneticPr fontId="1" type="noConversion"/>
  </si>
  <si>
    <t>子供が健やかに育っている。孩子正在健康成长。</t>
    <phoneticPr fontId="1" type="noConversion"/>
  </si>
  <si>
    <t>健やかな毎日を過ごすために、適度な運動をしている。为了健康地度过每一天，我会进行适度运动。</t>
    <phoneticPr fontId="1" type="noConversion"/>
  </si>
  <si>
    <t>子供の健やかな成長を願っています。希望孩子能够健康成长。</t>
    <phoneticPr fontId="1" type="noConversion"/>
  </si>
  <si>
    <t>心身ともに健やかに過ごしたい。我希望身心都能保持健康。</t>
    <phoneticPr fontId="1" type="noConversion"/>
  </si>
  <si>
    <t>健康：最普通的“健康”，客观描述身体状态。
健やか：除了健康，还带有一种自然、平稳、良好地发展的感觉，比较柔和、书面。</t>
    <phoneticPr fontId="1" type="noConversion"/>
  </si>
  <si>
    <t>健やかな体。健康的身体
健やかな心。健康的心灵
健やかに育つ。健康成长
健やかに暮らす。健康地生活
健やかな成長。健康成长
健やかな生活。健康的生活
健やかな毎日。健康的每一天
心身ともに健やか。身心健康</t>
    <phoneticPr fontId="1" type="noConversion"/>
  </si>
  <si>
    <t>健康、健全</t>
    <phoneticPr fontId="1" type="noConversion"/>
  </si>
  <si>
    <t>すこやか</t>
    <phoneticPr fontId="1" type="noConversion"/>
  </si>
  <si>
    <t>そっけない態度。冷淡的态度
そっけない返事。冷淡的回答
そっけない対応。冷淡的应对
そっけない言い方。冷淡的说法
そっけなく答える。冷淡地回答
そっけなく断る。冷淡地拒绝
そっけなくあしらう。冷淡地打发</t>
    <phoneticPr fontId="1" type="noConversion"/>
  </si>
  <si>
    <t>彼は私の質問にそっけなく答えた。他冷淡地回答了我的问题。</t>
    <phoneticPr fontId="1" type="noConversion"/>
  </si>
  <si>
    <t>最近、彼女の態度がそっけない。最近她的态度很冷淡。</t>
    <phoneticPr fontId="1" type="noConversion"/>
  </si>
  <si>
    <t>「知らない」とそっけなく言われた。对方冷冷地说了一句“不知道”。</t>
    <phoneticPr fontId="1" type="noConversion"/>
  </si>
  <si>
    <t>せっかく話しかけたのに、そっけなく返された。我好不容易主动搭话，却得到了冷淡的回应。</t>
    <phoneticPr fontId="1" type="noConversion"/>
  </si>
  <si>
    <t>そっけない：强调不给回应、不表现兴趣或关心，让人感觉被冷落。
冷たい：范围更广，强调态度冷酷、缺乏体贴。</t>
    <phoneticPr fontId="1" type="noConversion"/>
  </si>
  <si>
    <r>
      <rPr>
        <sz val="11"/>
        <color rgb="FFFF0000"/>
        <rFont val="等线"/>
        <family val="3"/>
        <charset val="134"/>
      </rPr>
      <t>健</t>
    </r>
    <r>
      <rPr>
        <sz val="11"/>
        <color theme="1"/>
        <rFont val="等线"/>
        <family val="2"/>
        <scheme val="minor"/>
      </rPr>
      <t>やか</t>
    </r>
    <phoneticPr fontId="1" type="noConversion"/>
  </si>
  <si>
    <t>有涩味；也可以表示不华丽但有一种沉稳、成熟的感觉。</t>
    <phoneticPr fontId="1" type="noConversion"/>
  </si>
  <si>
    <t>このお茶は少し渋い。この茶有点涩。</t>
    <phoneticPr fontId="1" type="noConversion"/>
  </si>
  <si>
    <t>彼は渋い色の服を好む。他喜欢颜色沉稳的衣服。</t>
    <phoneticPr fontId="1" type="noConversion"/>
  </si>
  <si>
    <t>彼は渋い声をしている。他的声音低沉而有味道。</t>
    <phoneticPr fontId="1" type="noConversion"/>
  </si>
  <si>
    <t>彼は年を重ねて、ますます渋い男になった。他随着年龄增长，越来越有成熟稳重的魅力。</t>
    <phoneticPr fontId="1" type="noConversion"/>
  </si>
  <si>
    <t>渋い味。涩味
渋いお茶。涩味较重的茶
渋い顔。不高兴、为难的表情
渋い声。低沉、沙哑而有味道的声音
渋い色。沉稳、不鲜艳的颜色
渋い服。朴素沉稳的衣服
渋いデザイン。低调沉稳的设计
渋い男。成熟稳重、有魅力的男人
渋い演技。沉稳、有味道的演技</t>
    <phoneticPr fontId="1" type="noConversion"/>
  </si>
  <si>
    <t>しぶい</t>
    <phoneticPr fontId="1" type="noConversion"/>
  </si>
  <si>
    <t>おろか</t>
    <phoneticPr fontId="1" type="noConversion"/>
  </si>
  <si>
    <t>おろそか/疎か</t>
    <phoneticPr fontId="1" type="noConversion"/>
  </si>
  <si>
    <t>基本をおろそかにしてはいけない。不能忽视基本功。</t>
    <phoneticPr fontId="1" type="noConversion"/>
  </si>
  <si>
    <t>仕事に夢中になって、健康をおろそかにしてしまった。太专注于工作，结果忽视了健康。</t>
    <phoneticPr fontId="1" type="noConversion"/>
  </si>
  <si>
    <t>小さなミスでもおろそかにしてはいけない。即使是小错误也不能忽视。</t>
    <phoneticPr fontId="1" type="noConversion"/>
  </si>
  <si>
    <t>勉強をおろそかにすると、後で苦労する。如果忽视学习，之后会吃苦头。</t>
    <phoneticPr fontId="1" type="noConversion"/>
  </si>
  <si>
    <t>勉強をおろそかにする。忽视学习
仕事をおろそかにする。疏忽工作
健康をおろそかにする。忽视健康
基本をおろそかにする。忽视基本功
安全確認をおろそかにする。疏忽安全确认
～をおろそかにしてはいけない。不能忽视……
本業をおろそかにする。忽视本职工作
細かい部分をおろそかにする。忽视细节部分</t>
    <phoneticPr fontId="1" type="noConversion"/>
  </si>
  <si>
    <t>疏忽、忽视</t>
    <phoneticPr fontId="1" type="noConversion"/>
  </si>
  <si>
    <t>该认真做的事情没有认真做，忽视了。</t>
    <phoneticPr fontId="1" type="noConversion"/>
  </si>
  <si>
    <t>人によってまちまちだ。因人而异
意見はまちまちだ。意见各不相同
大きさがまちまちだ。大小各不相同
値段はまちまちだ。价格各不相同
結果はまちまちだ。结果各不相同
対応はまちまちだ。应对方式各不相同
程度はまちまちだ。程度各不相同
人数はまちまちだ。人数各不相同</t>
    <phoneticPr fontId="1" type="noConversion"/>
  </si>
  <si>
    <t>参加者の年齢はまちまちだった。参加者的年龄各不相同。</t>
    <phoneticPr fontId="1" type="noConversion"/>
  </si>
  <si>
    <t>人によって考え方はまちまちだ。每个人的想法各不相同。</t>
    <phoneticPr fontId="1" type="noConversion"/>
  </si>
  <si>
    <t>店によって値段はまちまちです。不同店家的价格各不相同。</t>
    <phoneticPr fontId="1" type="noConversion"/>
  </si>
  <si>
    <t>商品の大きさがまちまちなので、箱に入れにくい。商品大小各不相同，所以很难装进箱子里。</t>
    <phoneticPr fontId="1" type="noConversion"/>
  </si>
  <si>
    <t>各不相同、参差不齐</t>
    <phoneticPr fontId="1" type="noConversion"/>
  </si>
  <si>
    <t>同一类东西之间没有统一，彼此存在差异。</t>
    <phoneticPr fontId="1" type="noConversion"/>
  </si>
  <si>
    <t>まとも</t>
  </si>
  <si>
    <t>まばら</t>
  </si>
  <si>
    <t>まわりくどい</t>
  </si>
  <si>
    <t>まんまるい</t>
  </si>
  <si>
    <t>みぐるしい</t>
  </si>
  <si>
    <t>みじゅく</t>
  </si>
  <si>
    <t>みずみずしい</t>
  </si>
  <si>
    <t>みぢか</t>
  </si>
  <si>
    <t>みっせつ</t>
  </si>
  <si>
    <t>みてい</t>
  </si>
  <si>
    <t>みれん</t>
  </si>
  <si>
    <t>みれんがましい</t>
  </si>
  <si>
    <t>むきりょく</t>
  </si>
  <si>
    <t>むくち</t>
  </si>
  <si>
    <t>むこう</t>
  </si>
  <si>
    <t>むさくるしい</t>
  </si>
  <si>
    <t>むざん</t>
  </si>
  <si>
    <t>むちゃ</t>
  </si>
  <si>
    <t>むちゃくちゃ</t>
  </si>
  <si>
    <t>むなしい</t>
  </si>
  <si>
    <t>むねん</t>
  </si>
  <si>
    <t>むぼう</t>
  </si>
  <si>
    <t>むやみ</t>
  </si>
  <si>
    <t>めいはく</t>
  </si>
  <si>
    <t>めいよ</t>
  </si>
  <si>
    <t>めいりょう</t>
  </si>
  <si>
    <t>めいろう</t>
  </si>
  <si>
    <t>めざましい</t>
  </si>
  <si>
    <t>めまぐるしい</t>
  </si>
  <si>
    <t>もうもくてき</t>
  </si>
  <si>
    <t>もうれつ</t>
  </si>
  <si>
    <t>もってのほか</t>
  </si>
  <si>
    <t>ものずき</t>
  </si>
  <si>
    <t>もろい</t>
  </si>
  <si>
    <t>やたら</t>
  </si>
  <si>
    <t>ゆうい</t>
  </si>
  <si>
    <t>ゆううつ</t>
  </si>
  <si>
    <t>ゆうえき</t>
  </si>
  <si>
    <t>ゆうかん</t>
  </si>
  <si>
    <t>ゆうすう</t>
  </si>
  <si>
    <t>ゆうせい</t>
  </si>
  <si>
    <t>れっせい</t>
  </si>
  <si>
    <t>ゆうび</t>
  </si>
  <si>
    <t>ゆうふく</t>
  </si>
  <si>
    <t>ゆうぼう</t>
  </si>
  <si>
    <t>ゆうりょく</t>
  </si>
  <si>
    <t>ゆゆしい</t>
  </si>
  <si>
    <t>ゆるやか</t>
  </si>
  <si>
    <t>よくぶかい</t>
  </si>
  <si>
    <t>りくつっぽい</t>
  </si>
  <si>
    <t>りこてき</t>
  </si>
  <si>
    <t>りふじん</t>
  </si>
  <si>
    <t>りゅうちょう</t>
  </si>
  <si>
    <t>りょうこう</t>
  </si>
  <si>
    <t>るいけいてき</t>
  </si>
  <si>
    <t>れいこく</t>
  </si>
  <si>
    <t>れいさい</t>
  </si>
  <si>
    <t>れいたん</t>
  </si>
  <si>
    <t>れきぜん</t>
  </si>
  <si>
    <t>れっとう</t>
  </si>
  <si>
    <t>ゆうえつ</t>
  </si>
  <si>
    <t>ねんいり</t>
  </si>
  <si>
    <t>ねんちょう</t>
  </si>
  <si>
    <t>のうみつ</t>
  </si>
  <si>
    <t>のぞましい</t>
  </si>
  <si>
    <t>のどか</t>
  </si>
  <si>
    <t>はかない</t>
  </si>
  <si>
    <t>はかばかしい</t>
  </si>
  <si>
    <t>はかりしれない</t>
  </si>
  <si>
    <t>はくじゃく</t>
  </si>
  <si>
    <t>ばくぜん</t>
  </si>
  <si>
    <t>はだざむい</t>
  </si>
  <si>
    <t>ばちがい</t>
  </si>
  <si>
    <t>ばつぐん</t>
  </si>
  <si>
    <t>はなばなしい</t>
  </si>
  <si>
    <t>はなやか</t>
  </si>
  <si>
    <t>はなればなれ</t>
  </si>
  <si>
    <t>はらだたしい</t>
  </si>
  <si>
    <t>はるか</t>
  </si>
  <si>
    <t>はればれしい</t>
  </si>
  <si>
    <t>はんじょう</t>
  </si>
  <si>
    <t>はんぱ</t>
  </si>
  <si>
    <t>ひかえめ</t>
  </si>
  <si>
    <t>ひかんてき</t>
  </si>
  <si>
    <t>ひさしい</t>
  </si>
  <si>
    <t>ひそか</t>
  </si>
  <si>
    <t>ひとなみ</t>
  </si>
  <si>
    <t>ひとまかせ</t>
  </si>
  <si>
    <t>ひらたい</t>
  </si>
  <si>
    <t>ひりき</t>
  </si>
  <si>
    <t>ひんじゃく</t>
  </si>
  <si>
    <t>ひんぱん</t>
  </si>
  <si>
    <t>びんぼう</t>
  </si>
  <si>
    <t>ぶあいそう</t>
  </si>
  <si>
    <t>ふあんない</t>
  </si>
  <si>
    <t>ふえて</t>
  </si>
  <si>
    <t>ぶえんりょ</t>
  </si>
  <si>
    <t>ふおん</t>
  </si>
  <si>
    <t>ふかかい</t>
  </si>
  <si>
    <t>ふかひ</t>
  </si>
  <si>
    <t>ぶかぶか</t>
  </si>
  <si>
    <t>ふきつ</t>
  </si>
  <si>
    <t>ふさわしい</t>
  </si>
  <si>
    <t>ふじゅん</t>
  </si>
  <si>
    <t>ふしん</t>
  </si>
  <si>
    <t>ふせっせい</t>
  </si>
  <si>
    <t>ふとう</t>
  </si>
  <si>
    <t>ぶなん</t>
  </si>
  <si>
    <t>ふび</t>
  </si>
  <si>
    <t>ふひょう</t>
  </si>
  <si>
    <t>ふふく</t>
  </si>
  <si>
    <t>ふほんい</t>
  </si>
  <si>
    <t>ふよう</t>
  </si>
  <si>
    <t>へいせい</t>
  </si>
  <si>
    <t>べこべこ</t>
  </si>
  <si>
    <t>ぼうぜん</t>
  </si>
  <si>
    <t>ぼろぼろ</t>
  </si>
  <si>
    <t>まえむき</t>
  </si>
  <si>
    <t>動的</t>
    <phoneticPr fontId="1" type="noConversion"/>
  </si>
  <si>
    <t>貴い/尊い</t>
    <phoneticPr fontId="1" type="noConversion"/>
  </si>
  <si>
    <t>同等</t>
    <phoneticPr fontId="1" type="noConversion"/>
  </si>
  <si>
    <t>堂々</t>
    <phoneticPr fontId="1" type="noConversion"/>
  </si>
  <si>
    <t>唐突</t>
    <phoneticPr fontId="1" type="noConversion"/>
  </si>
  <si>
    <t>突発的</t>
    <phoneticPr fontId="1" type="noConversion"/>
  </si>
  <si>
    <t>途方もない</t>
    <phoneticPr fontId="1" type="noConversion"/>
  </si>
  <si>
    <t>鈍感</t>
    <phoneticPr fontId="1" type="noConversion"/>
  </si>
  <si>
    <t>とんとん拍子</t>
    <phoneticPr fontId="1" type="noConversion"/>
  </si>
  <si>
    <t>嘆かわしい</t>
    <phoneticPr fontId="1" type="noConversion"/>
  </si>
  <si>
    <t>和やか</t>
    <phoneticPr fontId="1" type="noConversion"/>
  </si>
  <si>
    <t>名残惜しい</t>
    <phoneticPr fontId="1" type="noConversion"/>
  </si>
  <si>
    <t>情け深い</t>
    <phoneticPr fontId="1" type="noConversion"/>
  </si>
  <si>
    <t>名高い</t>
    <phoneticPr fontId="1" type="noConversion"/>
  </si>
  <si>
    <t>何気ない</t>
    <phoneticPr fontId="1" type="noConversion"/>
  </si>
  <si>
    <t>さり気ない</t>
    <phoneticPr fontId="1" type="noConversion"/>
  </si>
  <si>
    <t>生臭い</t>
    <phoneticPr fontId="1" type="noConversion"/>
  </si>
  <si>
    <t>生々しい</t>
    <phoneticPr fontId="1" type="noConversion"/>
  </si>
  <si>
    <t>生温い</t>
    <phoneticPr fontId="1" type="noConversion"/>
  </si>
  <si>
    <t>並大抵</t>
    <phoneticPr fontId="1" type="noConversion"/>
  </si>
  <si>
    <t>悩ましい</t>
    <phoneticPr fontId="1" type="noConversion"/>
  </si>
  <si>
    <t>馴れ馴れしい</t>
    <phoneticPr fontId="1" type="noConversion"/>
  </si>
  <si>
    <t>つるつる</t>
  </si>
  <si>
    <t>つるつる</t>
    <phoneticPr fontId="1" type="noConversion"/>
  </si>
  <si>
    <t>手薄</t>
    <phoneticPr fontId="1" type="noConversion"/>
  </si>
  <si>
    <t>手堅い</t>
    <phoneticPr fontId="1" type="noConversion"/>
  </si>
  <si>
    <t>適宜</t>
    <phoneticPr fontId="1" type="noConversion"/>
  </si>
  <si>
    <t>手近</t>
    <phoneticPr fontId="1" type="noConversion"/>
  </si>
  <si>
    <t>手っ取り早い</t>
    <phoneticPr fontId="1" type="noConversion"/>
  </si>
  <si>
    <t>素早い</t>
    <phoneticPr fontId="1" type="noConversion"/>
  </si>
  <si>
    <t>照れくさい</t>
    <phoneticPr fontId="1" type="noConversion"/>
  </si>
  <si>
    <t>てうす</t>
  </si>
  <si>
    <t>でかい</t>
  </si>
  <si>
    <t>てがたい</t>
  </si>
  <si>
    <t>てきぎ</t>
  </si>
  <si>
    <t>てごわい</t>
  </si>
  <si>
    <t>てぢか</t>
  </si>
  <si>
    <t>てっとりばやい</t>
  </si>
  <si>
    <t>すばやい</t>
  </si>
  <si>
    <t>てれくさい</t>
  </si>
  <si>
    <t>どうてき</t>
  </si>
  <si>
    <t>せいてき</t>
  </si>
  <si>
    <t>とうとい</t>
  </si>
  <si>
    <t>どうとう</t>
  </si>
  <si>
    <t>どうどう</t>
  </si>
  <si>
    <t>とうとつ</t>
  </si>
  <si>
    <t>とっぱつてき</t>
  </si>
  <si>
    <t>とほうもない</t>
  </si>
  <si>
    <t>どんかん</t>
  </si>
  <si>
    <t>とんとんびょうし</t>
  </si>
  <si>
    <t>なげかわしい</t>
  </si>
  <si>
    <t>なごやか</t>
  </si>
  <si>
    <t>なごりおしい</t>
  </si>
  <si>
    <t>なさけぶかい</t>
  </si>
  <si>
    <t>なだかい</t>
  </si>
  <si>
    <t>なまぐさい</t>
  </si>
  <si>
    <t>なまぬるい</t>
  </si>
  <si>
    <t>なみたいてい</t>
  </si>
  <si>
    <t>なやましい</t>
  </si>
  <si>
    <t>なれなれしい</t>
  </si>
  <si>
    <t>にくたらしい</t>
  </si>
  <si>
    <t>ねたましい</t>
  </si>
  <si>
    <t>ぐちゃぐちゃ</t>
  </si>
  <si>
    <t>ぐちゃぐちゃ</t>
    <phoneticPr fontId="1" type="noConversion"/>
  </si>
  <si>
    <t>均質</t>
    <phoneticPr fontId="1" type="noConversion"/>
  </si>
  <si>
    <t>緊密</t>
    <phoneticPr fontId="1" type="noConversion"/>
  </si>
  <si>
    <t>くしゃくしゃ</t>
  </si>
  <si>
    <t>くしゃくしゃ</t>
    <phoneticPr fontId="1" type="noConversion"/>
  </si>
  <si>
    <t>苦渋</t>
    <phoneticPr fontId="1" type="noConversion"/>
  </si>
  <si>
    <t>くすぐったい</t>
  </si>
  <si>
    <t>くすぐったい</t>
    <phoneticPr fontId="1" type="noConversion"/>
  </si>
  <si>
    <t>強烈</t>
    <phoneticPr fontId="1" type="noConversion"/>
  </si>
  <si>
    <t>極端</t>
    <phoneticPr fontId="1" type="noConversion"/>
  </si>
  <si>
    <t>清らか</t>
    <phoneticPr fontId="1" type="noConversion"/>
  </si>
  <si>
    <t>清い</t>
    <phoneticPr fontId="1" type="noConversion"/>
  </si>
  <si>
    <t>きらびやか</t>
  </si>
  <si>
    <t>きらびやか</t>
    <phoneticPr fontId="1" type="noConversion"/>
  </si>
  <si>
    <t>義理堅い</t>
    <phoneticPr fontId="1" type="noConversion"/>
  </si>
  <si>
    <t>過敏</t>
    <phoneticPr fontId="1" type="noConversion"/>
  </si>
  <si>
    <t>過密</t>
    <phoneticPr fontId="1" type="noConversion"/>
  </si>
  <si>
    <t>簡易</t>
    <phoneticPr fontId="1" type="noConversion"/>
  </si>
  <si>
    <t>簡潔</t>
    <phoneticPr fontId="1" type="noConversion"/>
  </si>
  <si>
    <t>頑丈</t>
    <phoneticPr fontId="1" type="noConversion"/>
  </si>
  <si>
    <t>肝心</t>
    <phoneticPr fontId="1" type="noConversion"/>
  </si>
  <si>
    <t>閑静</t>
    <phoneticPr fontId="1" type="noConversion"/>
  </si>
  <si>
    <t>簡素</t>
    <phoneticPr fontId="1" type="noConversion"/>
  </si>
  <si>
    <t>感無量</t>
    <phoneticPr fontId="1" type="noConversion"/>
  </si>
  <si>
    <t>肝要</t>
    <phoneticPr fontId="1" type="noConversion"/>
  </si>
  <si>
    <t>寛容</t>
    <phoneticPr fontId="1" type="noConversion"/>
  </si>
  <si>
    <t>簡略</t>
    <phoneticPr fontId="1" type="noConversion"/>
  </si>
  <si>
    <t>ぎこちない</t>
  </si>
  <si>
    <t>ぎこちない</t>
    <phoneticPr fontId="1" type="noConversion"/>
  </si>
  <si>
    <t>気障</t>
    <phoneticPr fontId="1" type="noConversion"/>
  </si>
  <si>
    <t>気さく</t>
    <phoneticPr fontId="1" type="noConversion"/>
  </si>
  <si>
    <t>几帳面</t>
    <phoneticPr fontId="1" type="noConversion"/>
  </si>
  <si>
    <t>希薄</t>
    <phoneticPr fontId="1" type="noConversion"/>
  </si>
  <si>
    <t>気まぐれ</t>
    <phoneticPr fontId="1" type="noConversion"/>
  </si>
  <si>
    <t>生真面目</t>
    <phoneticPr fontId="1" type="noConversion"/>
  </si>
  <si>
    <t>気まずい</t>
    <phoneticPr fontId="1" type="noConversion"/>
  </si>
  <si>
    <t>決まり悪い</t>
    <phoneticPr fontId="1" type="noConversion"/>
  </si>
  <si>
    <t>気味悪い</t>
    <phoneticPr fontId="1" type="noConversion"/>
  </si>
  <si>
    <t>気難しい</t>
    <phoneticPr fontId="1" type="noConversion"/>
  </si>
  <si>
    <t>華奢</t>
    <phoneticPr fontId="1" type="noConversion"/>
  </si>
  <si>
    <t>窮屈</t>
    <phoneticPr fontId="1" type="noConversion"/>
  </si>
  <si>
    <t>驚異的</t>
    <phoneticPr fontId="1" type="noConversion"/>
  </si>
  <si>
    <t>強硬</t>
    <phoneticPr fontId="1" type="noConversion"/>
  </si>
  <si>
    <t>過疎</t>
    <phoneticPr fontId="1" type="noConversion"/>
  </si>
  <si>
    <t>ほのか</t>
  </si>
  <si>
    <t>画期的</t>
    <phoneticPr fontId="1" type="noConversion"/>
  </si>
  <si>
    <t>かつてない</t>
  </si>
  <si>
    <t>かつてない</t>
    <phoneticPr fontId="1" type="noConversion"/>
  </si>
  <si>
    <t>活発</t>
    <phoneticPr fontId="1" type="noConversion"/>
  </si>
  <si>
    <t>かなわない</t>
  </si>
  <si>
    <t>かなわない/叶わない</t>
    <phoneticPr fontId="1" type="noConversion"/>
  </si>
  <si>
    <t>おんわ</t>
  </si>
  <si>
    <t>かがやかしい</t>
  </si>
  <si>
    <t>かかん</t>
  </si>
  <si>
    <t>かくだん</t>
  </si>
  <si>
    <t>かくべつ</t>
  </si>
  <si>
    <t>かげき</t>
  </si>
  <si>
    <t>かこく</t>
  </si>
  <si>
    <t>かしましい</t>
  </si>
  <si>
    <t>かそ</t>
  </si>
  <si>
    <t>かくきてき</t>
  </si>
  <si>
    <t>かっぱつ</t>
  </si>
  <si>
    <t>かびん</t>
  </si>
  <si>
    <t>かみつ</t>
  </si>
  <si>
    <t>かんい</t>
  </si>
  <si>
    <t>かんけつ</t>
  </si>
  <si>
    <t>がんこ</t>
  </si>
  <si>
    <t>がんじょう</t>
  </si>
  <si>
    <t>かんじん</t>
  </si>
  <si>
    <t>かんせい</t>
  </si>
  <si>
    <t>かんそ</t>
  </si>
  <si>
    <t>かんばしい</t>
  </si>
  <si>
    <t>かんぺき</t>
  </si>
  <si>
    <t>かんむりょう</t>
  </si>
  <si>
    <t>かんりゃく</t>
  </si>
  <si>
    <t>きざ</t>
  </si>
  <si>
    <t>きちょうめん</t>
  </si>
  <si>
    <t>きはく</t>
  </si>
  <si>
    <t>きまぐれ</t>
  </si>
  <si>
    <t>きまじめ</t>
  </si>
  <si>
    <t>きまずい</t>
  </si>
  <si>
    <t>きまりわるい</t>
  </si>
  <si>
    <t>きみわるい</t>
  </si>
  <si>
    <t>きむずかしい</t>
  </si>
  <si>
    <t>きゃしゃ</t>
  </si>
  <si>
    <t>きゅうくつ</t>
  </si>
  <si>
    <t>きょういてき</t>
  </si>
  <si>
    <t>きょうこう</t>
  </si>
  <si>
    <t>きょうれつ</t>
  </si>
  <si>
    <t>きょくたん</t>
  </si>
  <si>
    <t>きよらか</t>
  </si>
  <si>
    <t>ぎりがたい</t>
  </si>
  <si>
    <t>きんしつ</t>
  </si>
  <si>
    <t>きんみつ</t>
  </si>
  <si>
    <t>くじゅう</t>
  </si>
  <si>
    <t>けいかい</t>
  </si>
  <si>
    <t>けいさんだかい</t>
  </si>
  <si>
    <t>けいそつ</t>
  </si>
  <si>
    <t>けがらわしい</t>
  </si>
  <si>
    <t>げきてき</t>
  </si>
  <si>
    <t>けむたい</t>
  </si>
  <si>
    <t>けんざい</t>
  </si>
  <si>
    <t>けんしょう</t>
  </si>
  <si>
    <t>けんぜん</t>
  </si>
  <si>
    <t>けんちょ</t>
  </si>
  <si>
    <t>げんみつ</t>
  </si>
  <si>
    <t>けんめい</t>
  </si>
  <si>
    <t>こうがく</t>
  </si>
  <si>
    <t>こうこう</t>
  </si>
  <si>
    <t>こうしょう</t>
  </si>
  <si>
    <t>ごうじょう</t>
  </si>
  <si>
    <t>こうぜん</t>
  </si>
  <si>
    <t>こうみょう</t>
  </si>
  <si>
    <t>こがら</t>
  </si>
  <si>
    <t>こくめい</t>
  </si>
  <si>
    <t>かんよう</t>
    <phoneticPr fontId="1" type="noConversion"/>
  </si>
  <si>
    <t>不仅可以说外表难看，更常用于行为、场面很丢人、很不像样。</t>
    <phoneticPr fontId="1" type="noConversion"/>
  </si>
  <si>
    <t>难看、丢人</t>
    <phoneticPr fontId="1" type="noConversion"/>
  </si>
  <si>
    <t>見苦しい姿。难看的样子
見苦しい格好。难看的打扮
見苦しい言い訳。难看的借口、丢人的辩解
見苦しいところを見せる。让别人看到自己丢人的一面
見苦しい争い。难看的争执
見苦しい態度。难看的态度
見苦しい言い訳をする。做出难看的辩解</t>
    <phoneticPr fontId="1" type="noConversion"/>
  </si>
  <si>
    <t>人前でそんな見苦しい姿を見せるな。不要在人前表现得那么丢人。</t>
    <phoneticPr fontId="1" type="noConversion"/>
  </si>
  <si>
    <t>負けたのに言い訳ばかりするのは見苦しい。输了还一个劲儿找借口，很难看。</t>
    <phoneticPr fontId="1" type="noConversion"/>
  </si>
  <si>
    <t>彼は最後まで見苦しい言い訳を続けた。他一直到最后都在做丢人的辩解。</t>
    <phoneticPr fontId="1" type="noConversion"/>
  </si>
  <si>
    <t>大人同士が子供の前で争うのは見苦しい。大人在孩子面前争吵，实在很难看。</t>
    <phoneticPr fontId="1" type="noConversion"/>
  </si>
  <si>
    <t>この水は生温くておいしくない。这水温吞吞的，不好喝。</t>
    <phoneticPr fontId="1" type="noConversion"/>
  </si>
  <si>
    <t>生温い風が吹いている。吹着一股温吞的风。</t>
    <phoneticPr fontId="1" type="noConversion"/>
  </si>
  <si>
    <t>そんな生温い対応では問題は解決しない。那种不痛不痒的应对解决不了问题。</t>
    <phoneticPr fontId="1" type="noConversion"/>
  </si>
  <si>
    <t>彼のやり方は生温すぎる。他的做法太不够狠了。</t>
    <phoneticPr fontId="1" type="noConversion"/>
  </si>
  <si>
    <t>生温い水。温吞的水
生温い風。温吞的风
生温いお茶。温吞的茶
生温い対応。不够严厉的应对
生温い態度。态度不够强硬
生温いやり方。不痛不痒的做法
生温い考え。过于温和的想法
生温い処分。不够严厉的处分</t>
    <phoneticPr fontId="1" type="noConversion"/>
  </si>
  <si>
    <t>温吞、不够狠</t>
    <phoneticPr fontId="1" type="noConversion"/>
  </si>
  <si>
    <t>该有力度但没有 → 温吞、不痛不痒、在职场、批评别人做事不够果断时非常常见。</t>
    <phoneticPr fontId="1" type="noConversion"/>
  </si>
  <si>
    <t>融洽、和谐</t>
    <phoneticPr fontId="1" type="noConversion"/>
  </si>
  <si>
    <t>和やかな雰囲気。融洽的气氛
和やかな会話。愉快融洽的交谈
和やかな空気。融洽的氛围
和やかに話す。融洽地交谈
和やかに進む。顺利、融洽地进行
和やかな表情。温和的表情
和やかな食事会。气氛融洽的聚餐</t>
    <phoneticPr fontId="1" type="noConversion"/>
  </si>
  <si>
    <t>会議は和やかな雰囲気で始まった。会议在融洽的气氛中开始了。</t>
    <phoneticPr fontId="1" type="noConversion"/>
  </si>
  <si>
    <t>家族で和やかに食事を楽しんだ。一家人愉快融洽地享用了晚餐。</t>
    <phoneticPr fontId="1" type="noConversion"/>
  </si>
  <si>
    <t>二人は和やかに話していた。两个人融洽地交谈着。</t>
    <phoneticPr fontId="1" type="noConversion"/>
  </si>
  <si>
    <t>会場は和やかな空気に包まれていた。会场笼罩在一片融洽的氛围中。</t>
    <phoneticPr fontId="1" type="noConversion"/>
  </si>
  <si>
    <t>缺乏、不足</t>
    <phoneticPr fontId="1" type="noConversion"/>
  </si>
  <si>
    <r>
      <t>本来</t>
    </r>
    <r>
      <rPr>
        <sz val="11"/>
        <color theme="1"/>
        <rFont val="等线"/>
        <family val="2"/>
      </rPr>
      <t>应该</t>
    </r>
    <r>
      <rPr>
        <sz val="11"/>
        <color theme="1"/>
        <rFont val="游ゴシック"/>
        <charset val="128"/>
      </rPr>
      <t>有的</t>
    </r>
    <r>
      <rPr>
        <sz val="11"/>
        <color theme="1"/>
        <rFont val="等线"/>
        <family val="2"/>
      </rPr>
      <t>东</t>
    </r>
    <r>
      <rPr>
        <sz val="11"/>
        <color theme="1"/>
        <rFont val="游ゴシック"/>
        <charset val="128"/>
      </rPr>
      <t>西很少，</t>
    </r>
    <r>
      <rPr>
        <sz val="11"/>
        <color theme="1"/>
        <rFont val="等线"/>
        <family val="2"/>
      </rPr>
      <t>达</t>
    </r>
    <r>
      <rPr>
        <sz val="11"/>
        <color theme="1"/>
        <rFont val="游ゴシック"/>
        <charset val="128"/>
      </rPr>
      <t>不到需要的程度。</t>
    </r>
    <phoneticPr fontId="1" type="noConversion"/>
  </si>
  <si>
    <t>経験が乏しい。经验不足
知識が乏しい。知识不足
資金が乏しい。资金不足
人材が乏しい。人才不足
想像力が乏しい。想象力不足
語彙が乏しい。词汇量不足
表現力が乏しい。表达能力不足
変化に乏しい。缺乏变化
内容に乏しい。内容贫乏、不充实
栄養に乏しい。营养不足</t>
    <phoneticPr fontId="1" type="noConversion"/>
  </si>
  <si>
    <r>
      <t>私はまだ経験が乏しい。我</t>
    </r>
    <r>
      <rPr>
        <sz val="11"/>
        <color theme="1"/>
        <rFont val="等线"/>
        <family val="2"/>
      </rPr>
      <t>还</t>
    </r>
    <r>
      <rPr>
        <sz val="11"/>
        <color theme="1"/>
        <rFont val="游ゴシック"/>
        <charset val="128"/>
      </rPr>
      <t>缺乏</t>
    </r>
    <r>
      <rPr>
        <sz val="11"/>
        <color theme="1"/>
        <rFont val="等线"/>
        <family val="2"/>
      </rPr>
      <t>经验</t>
    </r>
    <r>
      <rPr>
        <sz val="11"/>
        <color theme="1"/>
        <rFont val="游ゴシック"/>
        <charset val="128"/>
      </rPr>
      <t>。</t>
    </r>
    <phoneticPr fontId="1" type="noConversion"/>
  </si>
  <si>
    <r>
      <t>この地域は水資源に乏しい。</t>
    </r>
    <r>
      <rPr>
        <sz val="11"/>
        <color theme="1"/>
        <rFont val="等线"/>
        <family val="2"/>
      </rPr>
      <t>这</t>
    </r>
    <r>
      <rPr>
        <sz val="11"/>
        <color theme="1"/>
        <rFont val="游ゴシック"/>
        <charset val="128"/>
      </rPr>
      <t>个地区缺乏水</t>
    </r>
    <r>
      <rPr>
        <sz val="11"/>
        <color theme="1"/>
        <rFont val="等线"/>
        <family val="2"/>
      </rPr>
      <t>资</t>
    </r>
    <r>
      <rPr>
        <sz val="11"/>
        <color theme="1"/>
        <rFont val="游ゴシック"/>
        <charset val="128"/>
      </rPr>
      <t>源。</t>
    </r>
    <phoneticPr fontId="1" type="noConversion"/>
  </si>
  <si>
    <r>
      <t>彼は日本語の語彙が乏しい。他的日</t>
    </r>
    <r>
      <rPr>
        <sz val="11"/>
        <color theme="1"/>
        <rFont val="等线"/>
        <family val="2"/>
      </rPr>
      <t>语词汇</t>
    </r>
    <r>
      <rPr>
        <sz val="11"/>
        <color theme="1"/>
        <rFont val="游ゴシック"/>
        <charset val="128"/>
      </rPr>
      <t>量不足。</t>
    </r>
    <phoneticPr fontId="1" type="noConversion"/>
  </si>
  <si>
    <r>
      <t>この映画は内容に乏しい。</t>
    </r>
    <r>
      <rPr>
        <sz val="11"/>
        <color theme="1"/>
        <rFont val="等线"/>
        <family val="2"/>
      </rPr>
      <t>这</t>
    </r>
    <r>
      <rPr>
        <sz val="11"/>
        <color theme="1"/>
        <rFont val="游ゴシック"/>
        <charset val="128"/>
      </rPr>
      <t>部</t>
    </r>
    <r>
      <rPr>
        <sz val="11"/>
        <color theme="1"/>
        <rFont val="等线"/>
        <family val="2"/>
      </rPr>
      <t>电</t>
    </r>
    <r>
      <rPr>
        <sz val="11"/>
        <color theme="1"/>
        <rFont val="游ゴシック"/>
        <charset val="128"/>
      </rPr>
      <t>影内容不</t>
    </r>
    <r>
      <rPr>
        <sz val="11"/>
        <color theme="1"/>
        <rFont val="等线"/>
        <family val="2"/>
      </rPr>
      <t>够</t>
    </r>
    <r>
      <rPr>
        <sz val="11"/>
        <color theme="1"/>
        <rFont val="游ゴシック"/>
        <charset val="128"/>
      </rPr>
      <t>充</t>
    </r>
    <r>
      <rPr>
        <sz val="11"/>
        <color theme="1"/>
        <rFont val="等线"/>
        <family val="2"/>
      </rPr>
      <t>实</t>
    </r>
    <r>
      <rPr>
        <sz val="11"/>
        <color theme="1"/>
        <rFont val="游ゴシック"/>
        <charset val="128"/>
      </rPr>
      <t>。</t>
    </r>
    <phoneticPr fontId="1" type="noConversion"/>
  </si>
  <si>
    <t>雨で道がつるつる滑る。因为下雨，路面滑溜溜的。</t>
    <phoneticPr fontId="1" type="noConversion"/>
  </si>
  <si>
    <t>彼女はうどんをつるつる食べている。她正哧溜哧溜地吃乌冬面。</t>
    <phoneticPr fontId="1" type="noConversion"/>
  </si>
  <si>
    <t>つるつるの肌。光滑的皮肤
つるつるの表面。光滑的表面
髪がつるつる。头发很顺滑
肌がつるつる。皮肤光滑
つるつるした石。表面光滑的石头
つるつる滑る。滑溜溜地滑
うどんをつるつる食べる。哧溜哧溜地吃乌冬面</t>
    <phoneticPr fontId="1" type="noConversion"/>
  </si>
  <si>
    <t>遠回し</t>
    <phoneticPr fontId="1" type="noConversion"/>
  </si>
  <si>
    <t>とおまわし</t>
    <phoneticPr fontId="1" type="noConversion"/>
  </si>
  <si>
    <r>
      <t>拐弯抹角、委婉地</t>
    </r>
    <r>
      <rPr>
        <sz val="11"/>
        <color theme="1"/>
        <rFont val="等线"/>
        <family val="2"/>
      </rPr>
      <t>说</t>
    </r>
    <phoneticPr fontId="1" type="noConversion"/>
  </si>
  <si>
    <t>遠回しに言う。拐弯抹角地说
遠回しに伝える。委婉地传达
遠回しに断る。委婉地拒绝
遠回しな言い方。拐弯抹角的说法
遠回しな表現。委婉的表达
遠回しに注意する。委婉地提醒/批评</t>
    <phoneticPr fontId="1" type="noConversion"/>
  </si>
  <si>
    <r>
      <t>彼は遠回しに私を批判している。他拐弯抹角地在批</t>
    </r>
    <r>
      <rPr>
        <sz val="11"/>
        <color theme="1"/>
        <rFont val="Microsoft YaHei"/>
        <family val="2"/>
        <charset val="134"/>
      </rPr>
      <t>评</t>
    </r>
    <r>
      <rPr>
        <sz val="11"/>
        <color theme="1"/>
        <rFont val="游ゴシック"/>
        <family val="2"/>
        <charset val="128"/>
      </rPr>
      <t>我。</t>
    </r>
    <phoneticPr fontId="1" type="noConversion"/>
  </si>
  <si>
    <t>「ちょっと難しいですね」と遠回しに断られた。对方说“有点困难呢”，委婉地拒绝了我。</t>
    <phoneticPr fontId="1" type="noConversion"/>
  </si>
  <si>
    <r>
      <t>遠回しに言わないで、はっきり言って。</t>
    </r>
    <r>
      <rPr>
        <sz val="11"/>
        <color theme="1"/>
        <rFont val="等线"/>
        <family val="2"/>
      </rPr>
      <t>别</t>
    </r>
    <r>
      <rPr>
        <sz val="11"/>
        <color theme="1"/>
        <rFont val="游ゴシック"/>
        <charset val="128"/>
      </rPr>
      <t>拐弯抹角的，直接</t>
    </r>
    <r>
      <rPr>
        <sz val="11"/>
        <color theme="1"/>
        <rFont val="等线"/>
        <family val="2"/>
      </rPr>
      <t>说</t>
    </r>
    <r>
      <rPr>
        <sz val="11"/>
        <color theme="1"/>
        <rFont val="游ゴシック"/>
        <charset val="128"/>
      </rPr>
      <t>。</t>
    </r>
    <phoneticPr fontId="1" type="noConversion"/>
  </si>
  <si>
    <t>彼女は「今日はちょっと……」と言って、遠回しに断った。她说“今天有点……”，委婉地拒绝了。</t>
    <phoneticPr fontId="1" type="noConversion"/>
  </si>
  <si>
    <t>この寺は桜の名所として名高い。 这座寺庙作为赏樱名胜而闻名。</t>
    <phoneticPr fontId="1" type="noConversion"/>
  </si>
  <si>
    <t>この地方は温泉地として名高い。 这个地区作为温泉胜地而闻名。</t>
    <phoneticPr fontId="1" type="noConversion"/>
  </si>
  <si>
    <t>彼女は優れた研究者として世界に名高い。 她作为优秀的研究者闻名于世。</t>
    <phoneticPr fontId="1" type="noConversion"/>
  </si>
  <si>
    <t>彼は日本を代表する名高い作家だ。 他是日本具有代表性的著名作家。</t>
    <phoneticPr fontId="1" type="noConversion"/>
  </si>
  <si>
    <r>
      <t xml:space="preserve">名高い人物 著名人物
名高い作家 著名作家
名高い画家 著名画家
名高い名所 著名景点
世界に名高い 闻名世界
</t>
    </r>
    <r>
      <rPr>
        <sz val="11"/>
        <color theme="1"/>
        <rFont val="Microsoft YaHei"/>
        <family val="2"/>
        <charset val="134"/>
      </rPr>
      <t>〜</t>
    </r>
    <r>
      <rPr>
        <sz val="11"/>
        <color theme="1"/>
        <rFont val="等线"/>
        <family val="2"/>
        <scheme val="minor"/>
      </rPr>
      <t>で名高い 因……而闻名</t>
    </r>
    <phoneticPr fontId="1" type="noConversion"/>
  </si>
  <si>
    <t>著名、闻名</t>
    <phoneticPr fontId="1" type="noConversion"/>
  </si>
  <si>
    <t>比单纯的「有名」更有一种“声名很高”的感觉。</t>
    <phoneticPr fontId="1" type="noConversion"/>
  </si>
  <si>
    <t>水嫩、新鲜</t>
    <phoneticPr fontId="1" type="noConversion"/>
  </si>
  <si>
    <t>みずみずしい果物 水嫩新鲜的水果
みずみずしい野菜 新鲜水嫩的蔬菜
みずみずしい肌 水润的皮肤
みずみずしい感性 充满活力、鲜活的感性
みずみずしい表現 新鲜生动的表达
みずみずしい文章 生动鲜活的文章</t>
    <phoneticPr fontId="1" type="noConversion"/>
  </si>
  <si>
    <t>この桃はみずみずしくて、とても甘い。 这个桃子水嫩多汁，非常甜。</t>
    <phoneticPr fontId="1" type="noConversion"/>
  </si>
  <si>
    <t>みずみずしい野菜を使ったサラダです。 这是用新鲜水嫩的蔬菜做的沙拉。</t>
    <phoneticPr fontId="1" type="noConversion"/>
  </si>
  <si>
    <t>彼女はみずみずしい肌をしている。 她的皮肤水润有光泽。</t>
    <phoneticPr fontId="1" type="noConversion"/>
  </si>
  <si>
    <t>若者ならではのみずみずしい感性が感じられる。 能感受到年轻人特有的鲜活感性。</t>
    <phoneticPr fontId="1" type="noConversion"/>
  </si>
  <si>
    <t>充满水分、显得鲜活，既可以形容水果蔬菜，也可以形容皮肤、文章、感受等。</t>
    <phoneticPr fontId="1" type="noConversion"/>
  </si>
  <si>
    <t>「情け」是对别人产生的怜悯、体谅、关怀之心，「情け深い」就是这种心很深、很强，指一个人很体贴别人、很有同情心、愿意帮助别人。</t>
    <phoneticPr fontId="1" type="noConversion"/>
  </si>
  <si>
    <t>富有同情心；体贴的</t>
    <phoneticPr fontId="1" type="noConversion"/>
  </si>
  <si>
    <t>情け深い人 富有同情心的人
情け深い性格 富有同情心的性格
情け深い心 仁慈、体贴的心
情け深く接する 体贴地对待
情け深い対応 富有人情味的应对</t>
    <phoneticPr fontId="1" type="noConversion"/>
  </si>
  <si>
    <t>彼は情け深い人で、困っている人を放っておけない。 他是个富有同情心的人，无法对有困难的人置之不理。</t>
    <phoneticPr fontId="1" type="noConversion"/>
  </si>
  <si>
    <t>彼女は情け深く、誰に対しても親切だ。 她很有同情心，对谁都很亲切。</t>
    <phoneticPr fontId="1" type="noConversion"/>
  </si>
  <si>
    <t>情け深い彼なら、きっと助けてくれるだろう。 他那么富有同情心，应该一定会帮助我们的。</t>
    <phoneticPr fontId="1" type="noConversion"/>
  </si>
  <si>
    <t>彼の情け深い言葉に救われた。 他那番体贴的话让我得到了安慰。</t>
    <phoneticPr fontId="1" type="noConversion"/>
  </si>
  <si>
    <t>光滑、顺畅</t>
    <phoneticPr fontId="1" type="noConversion"/>
  </si>
  <si>
    <t>滑らかな肌肤 光滑的皮肤
滑らかな表面 光滑的表面
滑らかな動き 流畅的动作
滑らかな口調 流畅的语调
滑らかに動く 顺畅地运动
滑らかに話す 流畅地说话</t>
    <phoneticPr fontId="1" type="noConversion"/>
  </si>
  <si>
    <t>このクリームを使うと、肌が滑らかになる。 使用这个乳霜后，皮肤会变得光滑。</t>
    <phoneticPr fontId="1" type="noConversion"/>
  </si>
  <si>
    <t>この石は表面が滑らかだ。 这块石头的表面很光滑。</t>
    <phoneticPr fontId="1" type="noConversion"/>
  </si>
  <si>
    <t>彼は日本語を滑らかに話す。 他日语说得很流畅。</t>
    <phoneticPr fontId="1" type="noConversion"/>
  </si>
  <si>
    <t>機械が滑らかに動いている。 机器运转得很顺畅。</t>
    <phoneticPr fontId="1" type="noConversion"/>
  </si>
  <si>
    <t>表面摸起来很平滑，也可以说动作、语言、过程进行得很顺畅。
つるつる：拟态词，光溜溜</t>
    <phoneticPr fontId="1" type="noConversion"/>
  </si>
  <si>
    <t>光溜溜、滑溜溜</t>
    <phoneticPr fontId="1" type="noConversion"/>
  </si>
  <si>
    <t>温泉に入ったら、肌がつるつるになった。泡完温泉后，皮肤变得光溜溜了。</t>
    <phoneticPr fontId="1" type="noConversion"/>
  </si>
  <si>
    <t>この石は表面がつるつるしている。这块石头表面光溜溜的。</t>
    <phoneticPr fontId="1" type="noConversion"/>
  </si>
  <si>
    <r>
      <t>つるつる：强</t>
    </r>
    <r>
      <rPr>
        <sz val="11"/>
        <color theme="1"/>
        <rFont val="Microsoft YaHei"/>
        <family val="2"/>
        <charset val="134"/>
      </rPr>
      <t>调</t>
    </r>
    <r>
      <rPr>
        <sz val="11"/>
        <color theme="1"/>
        <rFont val="游ゴシック"/>
        <family val="2"/>
        <charset val="128"/>
      </rPr>
      <t>表面非常光滑、没有凹凸，有</t>
    </r>
    <r>
      <rPr>
        <sz val="11"/>
        <color theme="1"/>
        <rFont val="Microsoft YaHei"/>
        <family val="2"/>
        <charset val="134"/>
      </rPr>
      <t>时还带</t>
    </r>
    <r>
      <rPr>
        <sz val="11"/>
        <color theme="1"/>
        <rFont val="游ゴシック"/>
        <family val="2"/>
        <charset val="128"/>
      </rPr>
      <t>“滑”的感</t>
    </r>
    <r>
      <rPr>
        <sz val="11"/>
        <color theme="1"/>
        <rFont val="Microsoft YaHei"/>
        <family val="2"/>
        <charset val="134"/>
      </rPr>
      <t>觉</t>
    </r>
    <r>
      <rPr>
        <sz val="11"/>
        <color theme="1"/>
        <rFont val="游ゴシック"/>
        <family val="2"/>
        <charset val="128"/>
      </rPr>
      <t>。
すべすべ：主要形容皮肤等摸起来柔滑</t>
    </r>
    <r>
      <rPr>
        <sz val="11"/>
        <color theme="1"/>
        <rFont val="Microsoft YaHei"/>
        <family val="2"/>
        <charset val="134"/>
      </rPr>
      <t>细腻</t>
    </r>
    <r>
      <rPr>
        <sz val="11"/>
        <color theme="1"/>
        <rFont val="游ゴシック"/>
        <family val="2"/>
        <charset val="128"/>
      </rPr>
      <t>，手感更明</t>
    </r>
    <r>
      <rPr>
        <sz val="11"/>
        <color theme="1"/>
        <rFont val="Microsoft YaHei"/>
        <family val="2"/>
        <charset val="134"/>
      </rPr>
      <t>显</t>
    </r>
    <r>
      <rPr>
        <sz val="11"/>
        <color theme="1"/>
        <rFont val="游ゴシック"/>
        <family val="2"/>
        <charset val="128"/>
      </rPr>
      <t>。
滑らか：光滑</t>
    </r>
    <phoneticPr fontId="1" type="noConversion"/>
  </si>
  <si>
    <t>そんなに褒められると、ちょっと照れくさい。 被你这么夸，我都有点不好意思了。</t>
    <phoneticPr fontId="1" type="noConversion"/>
  </si>
  <si>
    <t>みんなの前で好きだと言うのは照れくさい。 在大家面前说喜欢你，感觉很难为情。</t>
    <phoneticPr fontId="1" type="noConversion"/>
  </si>
  <si>
    <t>普段言わないから、家族に感謝を伝えるのは照れくさい。 平时不怎么说，所以向家人表达感谢让我觉得有点难为情。</t>
    <phoneticPr fontId="1" type="noConversion"/>
  </si>
  <si>
    <t>彼に直接ありがとうと言うのは、なんだか照れくさい。 直接对他说谢谢，总觉得有点不好意思。</t>
    <phoneticPr fontId="1" type="noConversion"/>
  </si>
  <si>
    <t>照れくさい気持ち 难为情的心情
照れくさくなる 变得难为情
照れくさくて言えない 难为情得说不出口
ちょっと照れくさい 有点难为情
褒められると照れくさい 被夸奖会觉得不好意思
人前で話すのは照れくさい 在别人面前说这种话很难为情</t>
    <phoneticPr fontId="1" type="noConversion"/>
  </si>
  <si>
    <r>
      <rPr>
        <sz val="11"/>
        <color theme="1"/>
        <rFont val="等线"/>
        <family val="2"/>
      </rPr>
      <t>难为</t>
    </r>
    <r>
      <rPr>
        <sz val="11"/>
        <color theme="1"/>
        <rFont val="游ゴシック"/>
        <charset val="128"/>
      </rPr>
      <t>情</t>
    </r>
    <phoneticPr fontId="1" type="noConversion"/>
  </si>
  <si>
    <r>
      <t>照れくさい：特别强</t>
    </r>
    <r>
      <rPr>
        <sz val="11"/>
        <color theme="1"/>
        <rFont val="Microsoft YaHei"/>
        <family val="2"/>
        <charset val="134"/>
      </rPr>
      <t>调</t>
    </r>
    <r>
      <rPr>
        <sz val="11"/>
        <color theme="1"/>
        <rFont val="游ゴシック"/>
        <family val="2"/>
        <charset val="128"/>
      </rPr>
      <t>因</t>
    </r>
    <r>
      <rPr>
        <sz val="11"/>
        <color theme="1"/>
        <rFont val="Microsoft YaHei"/>
        <family val="2"/>
        <charset val="134"/>
      </rPr>
      <t>为</t>
    </r>
    <r>
      <rPr>
        <sz val="11"/>
        <color theme="1"/>
        <rFont val="游ゴシック"/>
        <family val="2"/>
        <charset val="128"/>
      </rPr>
      <t>表达感情、被</t>
    </r>
    <r>
      <rPr>
        <sz val="11"/>
        <color rgb="FFFF0000"/>
        <rFont val="游ゴシック"/>
        <charset val="128"/>
      </rPr>
      <t>他人</t>
    </r>
    <r>
      <rPr>
        <sz val="11"/>
        <color theme="1"/>
        <rFont val="游ゴシック"/>
        <family val="2"/>
        <charset val="128"/>
      </rPr>
      <t>夸</t>
    </r>
    <r>
      <rPr>
        <sz val="11"/>
        <color theme="1"/>
        <rFont val="Microsoft YaHei"/>
        <family val="2"/>
        <charset val="134"/>
      </rPr>
      <t>奖</t>
    </r>
    <r>
      <rPr>
        <sz val="11"/>
        <color theme="1"/>
        <rFont val="游ゴシック"/>
        <family val="2"/>
        <charset val="128"/>
      </rPr>
      <t>、受到关注等而不好意思。</t>
    </r>
    <r>
      <rPr>
        <sz val="11"/>
        <color theme="1"/>
        <rFont val="游ゴシック"/>
        <charset val="128"/>
      </rPr>
      <t xml:space="preserve">
恥ずかしい：因</t>
    </r>
    <r>
      <rPr>
        <sz val="11"/>
        <color rgb="FFFF0000"/>
        <rFont val="游ゴシック"/>
        <charset val="128"/>
      </rPr>
      <t>个人</t>
    </r>
    <r>
      <rPr>
        <sz val="11"/>
        <color theme="1"/>
        <rFont val="游ゴシック"/>
        <charset val="128"/>
      </rPr>
      <t>行</t>
    </r>
    <r>
      <rPr>
        <sz val="11"/>
        <color theme="1"/>
        <rFont val="Microsoft YaHei"/>
        <family val="2"/>
        <charset val="134"/>
      </rPr>
      <t>为导</t>
    </r>
    <r>
      <rPr>
        <sz val="11"/>
        <color theme="1"/>
        <rFont val="游ゴシック"/>
        <charset val="128"/>
      </rPr>
      <t>致的害羞、</t>
    </r>
    <r>
      <rPr>
        <sz val="11"/>
        <color theme="1"/>
        <rFont val="Microsoft YaHei"/>
        <family val="2"/>
        <charset val="134"/>
      </rPr>
      <t>丢脸</t>
    </r>
    <r>
      <rPr>
        <sz val="11"/>
        <color theme="1"/>
        <rFont val="游ゴシック"/>
        <charset val="128"/>
      </rPr>
      <t>、不好意思。做</t>
    </r>
    <r>
      <rPr>
        <sz val="11"/>
        <color theme="1"/>
        <rFont val="Microsoft YaHei"/>
        <family val="2"/>
        <charset val="134"/>
      </rPr>
      <t>错</t>
    </r>
    <r>
      <rPr>
        <sz val="11"/>
        <color theme="1"/>
        <rFont val="游ゴシック"/>
        <charset val="128"/>
      </rPr>
      <t>事、出丑也可以用。</t>
    </r>
    <phoneticPr fontId="1" type="noConversion"/>
  </si>
  <si>
    <t>手堅い方法を選んだほうがいい。 选择稳妥的方法比较好。</t>
    <phoneticPr fontId="1" type="noConversion"/>
  </si>
  <si>
    <t>彼は手堅い投資を好む。 他喜欢稳妥的投资。</t>
    <phoneticPr fontId="1" type="noConversion"/>
  </si>
  <si>
    <t>今回は手堅くいこう。 这次还是稳妥一点吧。</t>
    <phoneticPr fontId="1" type="noConversion"/>
  </si>
  <si>
    <t>彼は手堅い仕事をしている。 他从事着一份稳定可靠的工作。</t>
    <phoneticPr fontId="1" type="noConversion"/>
  </si>
  <si>
    <t>手堅い方法 稳妥的方法
手堅い選択 稳妥的选择
手堅い仕事 稳定可靠的工作
手堅い商売 稳妥的生意
手堅く稼ぐ 稳稳当当地赚钱
手堅く進める 稳妥地推进</t>
    <phoneticPr fontId="1" type="noConversion"/>
  </si>
  <si>
    <r>
      <rPr>
        <sz val="11"/>
        <color theme="1"/>
        <rFont val="等线"/>
        <family val="2"/>
      </rPr>
      <t>稳</t>
    </r>
    <r>
      <rPr>
        <sz val="11"/>
        <color theme="1"/>
        <rFont val="游ゴシック"/>
        <charset val="128"/>
      </rPr>
      <t>妥</t>
    </r>
    <phoneticPr fontId="1" type="noConversion"/>
  </si>
  <si>
    <r>
      <t>做事、</t>
    </r>
    <r>
      <rPr>
        <sz val="11"/>
        <color theme="1"/>
        <rFont val="等线"/>
        <family val="2"/>
      </rPr>
      <t>选择</t>
    </r>
    <r>
      <rPr>
        <sz val="11"/>
        <color theme="1"/>
        <rFont val="游ゴシック"/>
        <charset val="128"/>
      </rPr>
      <t>、方法等</t>
    </r>
    <r>
      <rPr>
        <sz val="11"/>
        <color theme="1"/>
        <rFont val="等线"/>
        <family val="2"/>
      </rPr>
      <t>风险</t>
    </r>
    <r>
      <rPr>
        <sz val="11"/>
        <color theme="1"/>
        <rFont val="游ゴシック"/>
        <charset val="128"/>
      </rPr>
      <t>小、可靠，不容易出</t>
    </r>
    <r>
      <rPr>
        <sz val="11"/>
        <color theme="1"/>
        <rFont val="等线"/>
        <family val="2"/>
      </rPr>
      <t>问题</t>
    </r>
    <r>
      <rPr>
        <sz val="11"/>
        <color theme="1"/>
        <rFont val="游ゴシック"/>
        <charset val="128"/>
      </rPr>
      <t>。重点是“不冒</t>
    </r>
    <r>
      <rPr>
        <sz val="11"/>
        <color theme="1"/>
        <rFont val="等线"/>
        <family val="2"/>
      </rPr>
      <t>险</t>
    </r>
    <r>
      <rPr>
        <sz val="11"/>
        <color theme="1"/>
        <rFont val="游ゴシック"/>
        <charset val="128"/>
      </rPr>
      <t>，</t>
    </r>
    <r>
      <rPr>
        <sz val="11"/>
        <color theme="1"/>
        <rFont val="等线"/>
        <family val="2"/>
      </rPr>
      <t>稳稳</t>
    </r>
    <r>
      <rPr>
        <sz val="11"/>
        <color theme="1"/>
        <rFont val="游ゴシック"/>
        <charset val="128"/>
      </rPr>
      <t>当当”。</t>
    </r>
    <phoneticPr fontId="1" type="noConversion"/>
  </si>
  <si>
    <t>辛抱強い人 有耐心的人
辛抱強い性格 有耐心的性格
辛抱強く待つ 耐心等待
辛抱強く続ける 坚持不懈地继续
辛抱強く取り組む 耐心地坚持做
辛抱強く努力する 坚持不懈地努力</t>
    <phoneticPr fontId="1" type="noConversion"/>
  </si>
  <si>
    <t>彼は辛抱強い人なので、簡単には諦めない。 他是个很有耐心的人，不会轻易放弃。</t>
    <phoneticPr fontId="1" type="noConversion"/>
  </si>
  <si>
    <t>結果が出るまで辛抱強く続けることが大切だ。 在取得成果之前坚持下去很重要。</t>
    <phoneticPr fontId="1" type="noConversion"/>
  </si>
  <si>
    <t>彼女は子どもが話し終わるまで辛抱強く待った。 她耐心地等孩子把话说完。</t>
    <phoneticPr fontId="1" type="noConversion"/>
  </si>
  <si>
    <t>辛抱強く練習を続ければ、きっと上達する。 如果坚持耐心地练习，一定会进步。</t>
    <phoneticPr fontId="1" type="noConversion"/>
  </si>
  <si>
    <t>有耐心</t>
    <phoneticPr fontId="1" type="noConversion"/>
  </si>
  <si>
    <t>じみち</t>
  </si>
  <si>
    <t>しゅじゅ</t>
  </si>
  <si>
    <t>じょうきげん</t>
  </si>
  <si>
    <t>ふきげん</t>
  </si>
  <si>
    <t>しょうさい</t>
  </si>
  <si>
    <t>しんけいしつ</t>
  </si>
  <si>
    <t>しんじつ</t>
  </si>
  <si>
    <t>じんそく</t>
  </si>
  <si>
    <t>しんぴ</t>
  </si>
  <si>
    <t>しんぼうづよい</t>
  </si>
  <si>
    <t>しんみつ</t>
  </si>
  <si>
    <t>すがすがしい</t>
  </si>
  <si>
    <t>すみやか</t>
  </si>
  <si>
    <t>すれすれ</t>
  </si>
  <si>
    <t>せいき</t>
  </si>
  <si>
    <t>せいきゅう</t>
  </si>
  <si>
    <t>せいこう</t>
  </si>
  <si>
    <t>せいさい</t>
  </si>
  <si>
    <t>せいじゅん</t>
  </si>
  <si>
    <t>せいぜん</t>
  </si>
  <si>
    <t>せいだい</t>
  </si>
  <si>
    <t>せいとう</t>
  </si>
  <si>
    <t>せいみつ</t>
  </si>
  <si>
    <t>せつじつ</t>
  </si>
  <si>
    <t>せつない</t>
  </si>
  <si>
    <t>せんさい</t>
  </si>
  <si>
    <t>せんてんてき</t>
  </si>
  <si>
    <t>ぜんりょう</t>
  </si>
  <si>
    <t>そうおう</t>
  </si>
  <si>
    <t>そうきゅう</t>
  </si>
  <si>
    <t>そうけん</t>
  </si>
  <si>
    <t>そうだい</t>
  </si>
  <si>
    <t>だいたん</t>
  </si>
  <si>
    <t>だいなし</t>
  </si>
  <si>
    <t>たいまん</t>
  </si>
  <si>
    <t>たかびしゃ</t>
  </si>
  <si>
    <t>たき</t>
  </si>
  <si>
    <t>みすぼらしい服を着ていたので、店員に相手にされなかった。 因为穿着寒酸的衣服，所以没有受到店员的重视。</t>
    <phoneticPr fontId="1" type="noConversion"/>
  </si>
  <si>
    <t>その建物は古くて、かなりみすぼらしく見える。 那栋建筑很旧，看起来相当破旧寒酸。</t>
    <phoneticPr fontId="1" type="noConversion"/>
  </si>
  <si>
    <t>こんなみすぼらしい格好で人前に出たくない。 我不想穿得这么寒酸出现在别人面前。</t>
    <phoneticPr fontId="1" type="noConversion"/>
  </si>
  <si>
    <t>昔はみすぼらしい小さな家に住んでいた。 以前住在一间破旧寒酸的小房子里。</t>
    <phoneticPr fontId="1" type="noConversion"/>
  </si>
  <si>
    <t>みすぼらしい服装 寒酸的穿着
みすぼらしい格好 寒酸的打扮
みすぼらしい家 破旧寒酸的房子
みすぼらしい身なり 寒酸的外表
みすぼらしい生活 寒酸的生活
みすぼらしく見える 看起来很寒酸</t>
    <phoneticPr fontId="1" type="noConversion"/>
  </si>
  <si>
    <t>寒酸</t>
    <phoneticPr fontId="1" type="noConversion"/>
  </si>
  <si>
    <t>指外表、衣着、住处、东西等看起来破旧、简陋、没有体面感，让人觉得寒酸</t>
    <phoneticPr fontId="1" type="noConversion"/>
  </si>
  <si>
    <t>平たい石を拾って、水面に投げた。 我捡起一块扁平的石头，扔向水面。</t>
    <phoneticPr fontId="1" type="noConversion"/>
  </si>
  <si>
    <t>この皿は平たい形をしている。 这个盘子的形状很扁平。</t>
    <phoneticPr fontId="1" type="noConversion"/>
  </si>
  <si>
    <t>彼は平たい顔をしている。 他的脸比较扁平。</t>
    <phoneticPr fontId="1" type="noConversion"/>
  </si>
  <si>
    <t>専門用語を使わず、平たい言葉で説明してください。 请不要使用专业术语，用通俗易懂的话解释。</t>
    <phoneticPr fontId="1" type="noConversion"/>
  </si>
  <si>
    <t>平たい皿 扁平的盘子
平たい石 扁平的石头
平たい形 平坦的形状
平たい顔 扁平的脸
平たい言葉 通俗易懂的说法
平たい表現 通俗易懂的表达</t>
    <phoneticPr fontId="1" type="noConversion"/>
  </si>
  <si>
    <t>平的</t>
    <phoneticPr fontId="1" type="noConversion"/>
  </si>
  <si>
    <t>指东西的形状平、扁，没有明显的凸起或厚度。也可以引申为说话、解释等“不复杂、容易理解”</t>
    <phoneticPr fontId="1" type="noConversion"/>
  </si>
  <si>
    <t>临时应付</t>
    <phoneticPr fontId="1" type="noConversion"/>
  </si>
  <si>
    <t>場当たり的な対応 临时应付的处理
場当たり的な対策 临时性的对策
場当たり的な判断 临时做出的判断
場当たり的に対応する 临时应付
場当たり的に処理する 临时处理</t>
    <phoneticPr fontId="1" type="noConversion"/>
  </si>
  <si>
    <t>場当たり的な対応では、問題は解決しない。 只靠临时应付，是解决不了问题的。</t>
    <phoneticPr fontId="1" type="noConversion"/>
  </si>
  <si>
    <t>その会社は場当たり的な対策ばかり取っている。 那家公司总是在采取临时性的对策。</t>
    <phoneticPr fontId="1" type="noConversion"/>
  </si>
  <si>
    <t>将来のことを考えず、場当たり的に判断するのは危険だ。 不考虑未来，只根据眼前情况临时做决定是很危险的。</t>
    <phoneticPr fontId="1" type="noConversion"/>
  </si>
  <si>
    <t>トラブルが起きるたびに場当たり的に対応してきた。 每次发生问题都只是临时应付过去。</t>
    <phoneticPr fontId="1" type="noConversion"/>
  </si>
  <si>
    <t>場当たり的</t>
    <phoneticPr fontId="1" type="noConversion"/>
  </si>
  <si>
    <t>ばあたりてき</t>
    <phoneticPr fontId="1" type="noConversion"/>
  </si>
  <si>
    <r>
      <rPr>
        <sz val="11"/>
        <color theme="1"/>
        <rFont val="等线"/>
        <family val="2"/>
      </rPr>
      <t>难对</t>
    </r>
    <r>
      <rPr>
        <sz val="11"/>
        <color theme="1"/>
        <rFont val="游ゴシック"/>
        <charset val="128"/>
      </rPr>
      <t>付</t>
    </r>
    <phoneticPr fontId="1" type="noConversion"/>
  </si>
  <si>
    <t>手強い相手 难对付的对手
手強い敵 难对付的敌人
手強いライバル 强劲的对手
手強い問題 棘手的问题
手強い交渉相手 难对付的谈判对象
手強い相手と戦う 与强劲的对手交手</t>
    <phoneticPr fontId="1" type="noConversion"/>
  </si>
  <si>
    <r>
      <t xml:space="preserve">今回の相手はかなり手強い。 </t>
    </r>
    <r>
      <rPr>
        <sz val="11"/>
        <color theme="1"/>
        <rFont val="等线"/>
        <family val="2"/>
      </rPr>
      <t>这</t>
    </r>
    <r>
      <rPr>
        <sz val="11"/>
        <color theme="1"/>
        <rFont val="游ゴシック"/>
        <charset val="128"/>
      </rPr>
      <t>次的</t>
    </r>
    <r>
      <rPr>
        <sz val="11"/>
        <color theme="1"/>
        <rFont val="等线"/>
        <family val="2"/>
      </rPr>
      <t>对</t>
    </r>
    <r>
      <rPr>
        <sz val="11"/>
        <color theme="1"/>
        <rFont val="游ゴシック"/>
        <charset val="128"/>
      </rPr>
      <t>手相当</t>
    </r>
    <r>
      <rPr>
        <sz val="11"/>
        <color theme="1"/>
        <rFont val="等线"/>
        <family val="2"/>
      </rPr>
      <t>难对</t>
    </r>
    <r>
      <rPr>
        <sz val="11"/>
        <color theme="1"/>
        <rFont val="游ゴシック"/>
        <charset val="128"/>
      </rPr>
      <t>付。</t>
    </r>
    <phoneticPr fontId="1" type="noConversion"/>
  </si>
  <si>
    <t>彼は手強いライバルになりそうだ。 他可能会成为一个很强劲的竞争对手。</t>
    <phoneticPr fontId="1" type="noConversion"/>
  </si>
  <si>
    <r>
      <t xml:space="preserve">この問題は思ったより手強い。 </t>
    </r>
    <r>
      <rPr>
        <sz val="11"/>
        <color theme="1"/>
        <rFont val="等线"/>
        <family val="2"/>
      </rPr>
      <t>这</t>
    </r>
    <r>
      <rPr>
        <sz val="11"/>
        <color theme="1"/>
        <rFont val="游ゴシック"/>
        <charset val="128"/>
      </rPr>
      <t>个</t>
    </r>
    <r>
      <rPr>
        <sz val="11"/>
        <color theme="1"/>
        <rFont val="等线"/>
        <family val="2"/>
      </rPr>
      <t>问题</t>
    </r>
    <r>
      <rPr>
        <sz val="11"/>
        <color theme="1"/>
        <rFont val="游ゴシック"/>
        <charset val="128"/>
      </rPr>
      <t>比想象中更</t>
    </r>
    <r>
      <rPr>
        <sz val="11"/>
        <color theme="1"/>
        <rFont val="等线"/>
        <family val="2"/>
      </rPr>
      <t>难搞</t>
    </r>
    <r>
      <rPr>
        <sz val="11"/>
        <color theme="1"/>
        <rFont val="游ゴシック"/>
        <charset val="128"/>
      </rPr>
      <t>定。</t>
    </r>
    <phoneticPr fontId="1" type="noConversion"/>
  </si>
  <si>
    <t>手強い相手を倒すには、もっと準備が必要だ。 要击败强劲的对手，还需要做更多准备。</t>
    <phoneticPr fontId="1" type="noConversion"/>
  </si>
  <si>
    <t>手強い：指对手、敌人、问题等实力强、难以轻易解决或击败。重点是“不是那么容易搞定”。
厄介（やっかい）：麻烦、棘手，强调处理起来麻烦，不一定是因为对方实力强。</t>
    <phoneticPr fontId="1" type="noConversion"/>
  </si>
  <si>
    <r>
      <t>手</t>
    </r>
    <r>
      <rPr>
        <sz val="11"/>
        <color rgb="FFFF0000"/>
        <rFont val="游ゴシック"/>
        <charset val="128"/>
      </rPr>
      <t>強</t>
    </r>
    <r>
      <rPr>
        <sz val="11"/>
        <color theme="1"/>
        <rFont val="游ゴシック"/>
        <family val="2"/>
        <charset val="128"/>
      </rPr>
      <t>い</t>
    </r>
    <phoneticPr fontId="1" type="noConversion"/>
  </si>
  <si>
    <t>微不足道</t>
    <phoneticPr fontId="1" type="noConversion"/>
  </si>
  <si>
    <t>ちっぽけな存在 微不足道的存在
ちっぽけな人間 微不足道的人
ちっぽけな夢 微不足道的梦想
ちっぽけな悩み 微不足道的烦恼
ちっぽけな世界 小小的世界
ちっぽけなこと 小事、微不足道的事情</t>
    <phoneticPr fontId="1" type="noConversion"/>
  </si>
  <si>
    <t>自分がちっぽけな存在に思えてきた。 我渐渐觉得自己是个微不足道的存在。</t>
    <phoneticPr fontId="1" type="noConversion"/>
  </si>
  <si>
    <t>そんなちっぽけなことで悩む必要はない。 没必要为那么点小事烦恼。</t>
    <phoneticPr fontId="1" type="noConversion"/>
  </si>
  <si>
    <t>世界から見れば、私たちの悩みなんてちっぽけなものだ。 从整个世界来看，我们的烦恼根本微不足道。</t>
    <phoneticPr fontId="1" type="noConversion"/>
  </si>
  <si>
    <t>彼にとっては、そんな失敗はちっぽけなことだった。 对他来说，那种失败根本算不了什么。</t>
    <phoneticPr fontId="1" type="noConversion"/>
  </si>
  <si>
    <r>
      <rPr>
        <sz val="11"/>
        <color rgb="FFFF0000"/>
        <rFont val="等线"/>
        <family val="3"/>
        <charset val="134"/>
      </rPr>
      <t>脆</t>
    </r>
    <r>
      <rPr>
        <sz val="11"/>
        <color theme="1"/>
        <rFont val="等线"/>
        <family val="2"/>
        <scheme val="minor"/>
      </rPr>
      <t>い</t>
    </r>
    <phoneticPr fontId="1" type="noConversion"/>
  </si>
  <si>
    <t>脆弱</t>
    <phoneticPr fontId="1" type="noConversion"/>
  </si>
  <si>
    <t>脆いガラス 易碎的玻璃
脆い構造 脆弱的结构
脆い関係 脆弱的关系
精神的に脆い 精神上脆弱
意外と脆い 意外地脆弱
脆く崩れる 脆弱地崩塌</t>
    <phoneticPr fontId="1" type="noConversion"/>
  </si>
  <si>
    <t>このガラスは薄くて脆い。 这种玻璃很薄，很容易碎。</t>
    <phoneticPr fontId="1" type="noConversion"/>
  </si>
  <si>
    <t>見た目は丈夫そうだが、意外と脆い。 看起来很结实，但意外地很脆弱。</t>
    <phoneticPr fontId="1" type="noConversion"/>
  </si>
  <si>
    <t>二人の関係は思ったより脆かった。 两人的关系比想象中更加脆弱。</t>
    <phoneticPr fontId="1" type="noConversion"/>
  </si>
  <si>
    <t>人間の心は意外と脆いものだ。 人的内心其实意外地脆弱。</t>
    <phoneticPr fontId="1" type="noConversion"/>
  </si>
  <si>
    <t>これは決して無視できないゆゆしい問題だ。 这绝不是可以忽视的严重问题。</t>
    <phoneticPr fontId="1" type="noConversion"/>
  </si>
  <si>
    <t>環境汚染はゆゆしい事態になっている。 环境污染已经到了严重的地步。</t>
    <phoneticPr fontId="1" type="noConversion"/>
  </si>
  <si>
    <t>この問題を放置すれば、ゆゆしい事態を招くことになる。 如果放任这个问题不管，将会导致严重的后果。</t>
    <phoneticPr fontId="1" type="noConversion"/>
  </si>
  <si>
    <t>事態は私たちが考えていた以上にゆゆしい。 事态比我们想象的还要严重。</t>
    <phoneticPr fontId="1" type="noConversion"/>
  </si>
  <si>
    <t>欲深い人は、どれだけお金があっても満足しない。 贪心的人不管有多少钱都不会满足。</t>
    <phoneticPr fontId="1" type="noConversion"/>
  </si>
  <si>
    <t>あまり欲深くならないほうがいい。 最好不要太贪心。</t>
    <phoneticPr fontId="1" type="noConversion"/>
  </si>
  <si>
    <t>彼は欲深いところがある。 他有些贪心。</t>
    <phoneticPr fontId="1" type="noConversion"/>
  </si>
  <si>
    <t>欲深くなりすぎると、大切なものを失ってしまう。 太贪心的话，反而会失去重要的东西。</t>
    <phoneticPr fontId="1" type="noConversion"/>
  </si>
  <si>
    <t>贪心</t>
    <phoneticPr fontId="1" type="noConversion"/>
  </si>
  <si>
    <t>欲張り：贪心、贪多，日常会话非常常见。「欲深い」更强调欲望很深、很难满足。常用于问题、情况、事态等，带有比较强的负面评价，而且偏书面。</t>
    <phoneticPr fontId="1" type="noConversion"/>
  </si>
  <si>
    <t>ゆううつ / 憂鬱</t>
    <phoneticPr fontId="1" type="noConversion"/>
  </si>
  <si>
    <t>明日の試験を考えると、憂鬱になる。 一想到明天的考试就觉得郁闷。</t>
    <phoneticPr fontId="1" type="noConversion"/>
  </si>
  <si>
    <t>雨の日はなんとなく憂鬱な気分になる。 下雨天总觉得莫名有些郁闷。</t>
    <phoneticPr fontId="1" type="noConversion"/>
  </si>
  <si>
    <t>月曜日の朝はいつも憂鬱だ。 星期一早上总是让人很郁闷。</t>
    <phoneticPr fontId="1" type="noConversion"/>
  </si>
  <si>
    <t>嫌な仕事が待っていると思うと、気分が憂鬱になる。 一想到有讨厌的工作等着自己，心情就变得郁闷。</t>
    <phoneticPr fontId="1" type="noConversion"/>
  </si>
  <si>
    <t>郁闷</t>
    <phoneticPr fontId="1" type="noConversion"/>
  </si>
  <si>
    <t>憂鬱な気分 郁闷的心情
憂鬱な気持ち 郁闷的心情
憂鬱な毎日 郁闷的每一天
憂鬱になる 变得郁闷
憂鬱な気分になる 感到郁闷
憂鬱な顔をする 一脸郁闷</t>
    <phoneticPr fontId="1" type="noConversion"/>
  </si>
  <si>
    <t>落ち込む：情绪低落、消沉，通常是因为失败、挫折等导致心情下降。
気が重い：心情沉重、不想面对某件事。和「憂鬱」很接近，但更强调想到具体事情就觉得沉重。</t>
    <phoneticPr fontId="1" type="noConversion"/>
  </si>
  <si>
    <t>邋遢</t>
    <phoneticPr fontId="1" type="noConversion"/>
  </si>
  <si>
    <t>部屋が散らかっていて、むさ苦しい。 房间乱七八糟的，看起来很邋遢。</t>
    <phoneticPr fontId="1" type="noConversion"/>
  </si>
  <si>
    <t>むさ苦しい格好で外に出るのは嫌だ。 我不想穿得邋里邋遢地出门。</t>
    <phoneticPr fontId="1" type="noConversion"/>
  </si>
  <si>
    <t>男ばかりで、なんだかむさ苦しい部屋だ。 房间里全是男人，总觉得有点闷闷的、不清爽。</t>
    <phoneticPr fontId="1" type="noConversion"/>
  </si>
  <si>
    <t>暑い日に人が大勢いると、むさ苦しく感じる。 炎热的天气里人又很多，会让人感觉很闷、不舒服。</t>
    <phoneticPr fontId="1" type="noConversion"/>
  </si>
  <si>
    <t>むさ苦しい部屋 邋遢杂乱的房间
むさ苦しい男 邋遢的男人
むさ苦しい格好 邋遢的打扮
むさ苦しい場所 邋遢、拥挤的地方
むさ苦しく感じる 感觉很不清爽
むさ苦しい雰囲気 让人觉得不舒服的氛围</t>
    <phoneticPr fontId="1" type="noConversion"/>
  </si>
  <si>
    <t>「だらし」本身就有“做事有条理、规矩、严整、有收束”的意思
「だらしない」就是反过来：没有收束、没有规矩 → 松松垮垮、不像样</t>
    <phoneticPr fontId="1" type="noConversion"/>
  </si>
  <si>
    <t>不规矩、不像样</t>
    <phoneticPr fontId="1" type="noConversion"/>
  </si>
  <si>
    <t>だらしない服装
→ 穿着松松垮垮、不整洁 → 邋遢
お金にだらしない
→ 对钱没有节制 → 花钱没谱
女にだらしない
→ 男女关系没有节制 → 对女性关系不检点
仕事がだらしない
→ 工作做得松散、不严谨 → 做事不靠谱
だらしない人
→ 整个人都松松垮垮、缺乏自制 → 没出息、没用、不像样
だらしない！
→ 这里甚至可以直接是“真不像话！”“真没出息！”</t>
    <phoneticPr fontId="1" type="noConversion"/>
  </si>
  <si>
    <t>そんなことで諦めるなんて、だらしない。 因为这么点事情就放弃，真没出息。</t>
    <phoneticPr fontId="1" type="noConversion"/>
  </si>
  <si>
    <t>彼はお金にだらしない。 他花钱没有节制。</t>
    <phoneticPr fontId="1" type="noConversion"/>
  </si>
  <si>
    <t>だらしない格好で会社に行くな。 别穿得邋里邋遢地去公司。</t>
    <phoneticPr fontId="1" type="noConversion"/>
  </si>
  <si>
    <t>仕事がだらしないと、周りから信用されなくなる。 做事不靠谱的话，就会失去周围人的信任。</t>
    <phoneticPr fontId="1" type="noConversion"/>
  </si>
  <si>
    <r>
      <t xml:space="preserve">
穿着邋遢、不修边幅　</t>
    </r>
    <r>
      <rPr>
        <sz val="11"/>
        <color theme="1"/>
        <rFont val="等线"/>
        <family val="4"/>
        <charset val="134"/>
        <scheme val="minor"/>
      </rPr>
      <t xml:space="preserve">だらしない 很常用。
服装がだらしない。穿着很邋遢。
だらしない格好をしている。穿得邋里邋遢的。
如果是头发长、胡子拉碴、衣服不整、整体给人不清爽的感觉，很适合「むさ苦しい」。
むさ苦しい男　看起来邋里邋遢的男人
</t>
    </r>
    <phoneticPr fontId="1" type="noConversion"/>
  </si>
  <si>
    <t>ぶかぶかの服 过于宽大的衣服
ぶかぶかのズボン 松松垮垮的裤子
ぶかぶかのシャツ 过大的衬衫
ぶかぶかの靴 过大的鞋子
服がぶかぶかだ 衣服太大了
ぶかぶかの制服 宽大的制服</t>
    <phoneticPr fontId="1" type="noConversion"/>
  </si>
  <si>
    <t>过于宽大</t>
    <phoneticPr fontId="1" type="noConversion"/>
  </si>
  <si>
    <t>指衣服、鞋子等比合适的尺寸大很多，穿上后松松垮垮、不贴身。重点是“尺寸太大”，而不是单纯宽松。</t>
    <phoneticPr fontId="1" type="noConversion"/>
  </si>
  <si>
    <t>この服は大きすぎて、ぶかぶかだ。 这件衣服太大了，穿起来松松垮垮的。</t>
    <phoneticPr fontId="1" type="noConversion"/>
  </si>
  <si>
    <t>子どもにぶかぶかの服を着せた。 给孩子穿了一件过大的衣服。</t>
    <phoneticPr fontId="1" type="noConversion"/>
  </si>
  <si>
    <t>この靴はぶかぶかで、歩きにくい。 这双鞋太大了，走路很不方便。</t>
    <phoneticPr fontId="1" type="noConversion"/>
  </si>
  <si>
    <t>兄のお下がりなので、まだ少しぶかぶかだ。 因为是哥哥穿过的旧衣服，所以现在穿起来还有点大。</t>
    <phoneticPr fontId="1" type="noConversion"/>
  </si>
  <si>
    <t>彼はやたらと人に話しかける。 他总是一个劲儿地跟别人搭话。</t>
    <phoneticPr fontId="1" type="noConversion"/>
  </si>
  <si>
    <t>必要もないのに、やたらと物を買ってしまう。 明明没必要，却总是乱买东西。</t>
    <phoneticPr fontId="1" type="noConversion"/>
  </si>
  <si>
    <t>あの店はやたらと高い。 那家店贵得离谱。</t>
    <phoneticPr fontId="1" type="noConversion"/>
  </si>
  <si>
    <t>最近、彼女はやたらと私のことを気にしている。 最近她总是过分在意我的事情。</t>
    <phoneticPr fontId="1" type="noConversion"/>
  </si>
  <si>
    <t>やたらに触る：乱摸、随便碰
やたらに使う：随便使用、乱用
やたらに買う：胡乱买、什么都买
やたらに人を疑う：随便怀疑别人
やたらと多い：多得异常
やたらと高い：贵得离谱
やたらと暑い：异常炎热
やたらと気になる：莫名其妙地特别在意
やたらに／と食べる：一个劲地吃</t>
    <phoneticPr fontId="1" type="noConversion"/>
  </si>
  <si>
    <t>没有节制、没有分寸地超过正常程度</t>
    <phoneticPr fontId="1" type="noConversion"/>
  </si>
  <si>
    <t>今日はやたらと暑いな。今天热得异常啊。</t>
    <phoneticPr fontId="1" type="noConversion"/>
  </si>
  <si>
    <t>随意、胡乱地；过于、一个劲地</t>
    <phoneticPr fontId="1" type="noConversion"/>
  </si>
  <si>
    <t>必要もないのに、やたらに薬を飲むのはよくない。明明没必要，却随便乱吃药不好。</t>
    <phoneticPr fontId="1" type="noConversion"/>
  </si>
  <si>
    <t>安いからといって、やたらに買うと後で困るよ。不能因为便宜就乱买，不然后面会麻烦。</t>
    <phoneticPr fontId="1" type="noConversion"/>
  </si>
  <si>
    <t>未練がましい態度：放不下的态度
未練がましくする：表现得很舍不得、放不下
未練がましく言う：不甘心地说、恋恋不舍地说
未練がましく残る：仍然留恋、不舍
未練がましいことを言う：说些放不下的话
未練がましく過去を振り返る：恋恋不舍地回顾过去</t>
    <phoneticPr fontId="1" type="noConversion"/>
  </si>
  <si>
    <t>もう別れたんだから、未練がましいことを言うな。既然已经分手了，就别再说那些放不下的话了。</t>
    <phoneticPr fontId="1" type="noConversion"/>
  </si>
  <si>
    <t>彼は別れた彼女のことをまだ未練がましく話している。他还在恋恋不舍地谈论已经分手的女朋友。</t>
    <phoneticPr fontId="1" type="noConversion"/>
  </si>
  <si>
    <t>未練がましく昔の写真を見返してしまう。我还是忍不住留恋地翻看以前的照片。</t>
    <phoneticPr fontId="1" type="noConversion"/>
  </si>
  <si>
    <t>いつまでも未練がましくしていても、何も変わらない。一直这样放不下，也什么都改变不了。</t>
    <phoneticPr fontId="1" type="noConversion"/>
  </si>
  <si>
    <t>心里还有留恋，因此迟迟无法割舍或接受已经结束的事情。</t>
    <phoneticPr fontId="1" type="noConversion"/>
  </si>
  <si>
    <t>放不下、留恋</t>
    <phoneticPr fontId="1" type="noConversion"/>
  </si>
  <si>
    <t>人の成功が妬ましい：嫉妒别人的成功
人の幸せが妬ましい：嫉妒别人的幸福
才能が妬ましい：眼红别人的才能
恵まれた環境が妬ましい：嫉妒别人优越的环境
彼の才能が妬ましい：嫉妒他的才能</t>
    <phoneticPr fontId="1" type="noConversion"/>
  </si>
  <si>
    <t>令人嫉妒、眼红</t>
    <phoneticPr fontId="1" type="noConversion"/>
  </si>
  <si>
    <t>彼の成功が妬ましい。真嫉妒他的成功。</t>
    <phoneticPr fontId="1" type="noConversion"/>
  </si>
  <si>
    <t>何の努力もしていないように見える彼が成功したのが妬ましい。看到一个看起来没怎么努力的人却成功了，我很嫉妒。</t>
    <phoneticPr fontId="1" type="noConversion"/>
  </si>
  <si>
    <t>友達の幸せを妬ましく思ってしまう。我不由得嫉妒朋友的幸福。</t>
    <phoneticPr fontId="1" type="noConversion"/>
  </si>
  <si>
    <t>才能のある人を見ると、つい妬ましくなってしまう。一看到有才能的人，我就忍不住会嫉妒。</t>
    <phoneticPr fontId="1" type="noConversion"/>
  </si>
  <si>
    <t>动词 妬む 嫉妒</t>
    <phoneticPr fontId="1" type="noConversion"/>
  </si>
  <si>
    <t>しぶとく生き残る：顽强地生存下来
しぶとく粘る：顽强地坚持
しぶとく戦う：顽强地战斗
しぶとく残る：顽强地留下来
しぶとい選手：很顽强的选手</t>
    <phoneticPr fontId="1" type="noConversion"/>
  </si>
  <si>
    <t>あの選手は本当にしぶとい。那个选手真的很顽强。</t>
    <phoneticPr fontId="1" type="noConversion"/>
  </si>
  <si>
    <t>何度失敗しても、彼はしぶとく挑戦し続けた。他失败了很多次，却依然顽强地继续挑战。</t>
    <phoneticPr fontId="1" type="noConversion"/>
  </si>
  <si>
    <t>この植物は暑さにも寒さにも強くて、かなりしぶとい。这种植物耐热又耐寒，生命力非常顽强。</t>
    <phoneticPr fontId="1" type="noConversion"/>
  </si>
  <si>
    <t>遇到困难、挫折或打击，也不轻易退缩或放弃。也可以表负面的，人或事物不容易被打倒、消除</t>
    <phoneticPr fontId="1" type="noConversion"/>
  </si>
  <si>
    <t>この汚れ、なかなかしぶといな。この污渍还真顽固啊。</t>
    <phoneticPr fontId="1" type="noConversion"/>
  </si>
  <si>
    <t>風邪がしぶとく残っている。感冒一直不好，挺顽固的。</t>
    <phoneticPr fontId="1" type="noConversion"/>
  </si>
  <si>
    <t>顽强、顽固</t>
    <phoneticPr fontId="1" type="noConversion"/>
  </si>
  <si>
    <t>彼は気難しい人だから、付き合うのが大変だ。他这个人比较难相处，所以和他打交道很累。</t>
    <phoneticPr fontId="1" type="noConversion"/>
  </si>
  <si>
    <t>父は昔から気難しい性格で、何を言ってもなかなか納得してくれない。父亲从以前就是个比较难相处的人，不管说什么都很难让他接受。</t>
    <phoneticPr fontId="1" type="noConversion"/>
  </si>
  <si>
    <t>あの店主は気難しいことで有名だけど、実は優しい人だ。那个店主出了名的难相处，但其实是个很温柔的人。</t>
    <phoneticPr fontId="1" type="noConversion"/>
  </si>
  <si>
    <t>难相处</t>
    <phoneticPr fontId="1" type="noConversion"/>
  </si>
  <si>
    <t>気難しい人 难相处的人
気難しい性格 难相处的性格
気難しい上司 难相处的上司
気難しいところがある 有比较难相处的一面</t>
    <phoneticPr fontId="1" type="noConversion"/>
  </si>
  <si>
    <t>性格、脾气不好相处，很难迎合</t>
    <phoneticPr fontId="1" type="noConversion"/>
  </si>
  <si>
    <t>前所未有的、从未有过的</t>
    <phoneticPr fontId="1" type="noConversion"/>
  </si>
  <si>
    <t>「かつて」本身有“以前、过去”和与否定搭配表示“从来没有”两种用法；在「かつてない」中使用的是后者，即“过去从未有过”。</t>
    <phoneticPr fontId="1" type="noConversion"/>
  </si>
  <si>
    <t>これは日本経済にとって、かつてない危機だ。对日本经济来说，这是前所未有的危机。</t>
    <phoneticPr fontId="1" type="noConversion"/>
  </si>
  <si>
    <t>今年はかつてないほど暑い夏になった。今年的夏天热到了前所未有的程度。</t>
    <phoneticPr fontId="1" type="noConversion"/>
  </si>
  <si>
    <t>この映画はかつてない規模で制作された。这部电影以空前的规模制作。</t>
    <phoneticPr fontId="1" type="noConversion"/>
  </si>
  <si>
    <t>彼はかつてない経験をした。他经历了一次前所未有的经历。</t>
    <phoneticPr fontId="1" type="noConversion"/>
  </si>
  <si>
    <t>かつてないほど 前所未有地……
かつてない規模 前所未有的规模
かつてない大きさ 前所未有的大小
かつてない経験 前所未有的经历
かつてない危機 前所未有的危机
かつてない盛り上がり 前所未有的热烈气氛</t>
    <phoneticPr fontId="1" type="noConversion"/>
  </si>
  <si>
    <t>ぎこちない動き 生硬、不自然的动作
ぎこちない動作 不自然的动作
ぎこちない話し方 生硬的说话方式
ぎこちない会話 生硬的对话
ぎこちない笑顔 不自然的笑容
ぎこちなく話す 生硬地说话
ぎこちなく動く 动作不自然</t>
    <phoneticPr fontId="1" type="noConversion"/>
  </si>
  <si>
    <t>初めてなので、まだ動きがぎこちないです。因为是第一次做，所以动作还不太自然。</t>
    <phoneticPr fontId="1" type="noConversion"/>
  </si>
  <si>
    <t>彼は緊張して、ぎこちない話し方になっていた。他因为紧张，说话变得很生硬。</t>
    <phoneticPr fontId="1" type="noConversion"/>
  </si>
  <si>
    <t>久しぶりに会った二人は、最初は少しぎこちない会話をしていた。久违见面的两个人，一开始对话显得有些生硬。</t>
    <phoneticPr fontId="1" type="noConversion"/>
  </si>
  <si>
    <t>彼女はぎこちなく笑って、「大丈夫」と言った。她不自然地笑了一下，说：“没关系。”</t>
    <phoneticPr fontId="1" type="noConversion"/>
  </si>
  <si>
    <t>ぎこちない：强调动作、说话、交流等显得生硬、不熟练、不顺畅
不自然：范围更广，只要“不符合自然状态”都可以用</t>
    <phoneticPr fontId="1" type="noConversion"/>
  </si>
  <si>
    <t>动作、表达不自然、不流畅</t>
    <phoneticPr fontId="1" type="noConversion"/>
  </si>
  <si>
    <t>思わしい結果 令人满意的结果
思わしい成果 理想的成果
思わしい状態 理想的状态
思わしい方向 理想的方向
思わしくない情况不理想
思わしくない結果 不理想的结果
回復が思わしくない 恢复情况不理想
病状が思わしくない 病情不太理想
売れ行きが思わしくない 销售情况不理想
進み具合が思わしくない 进展情况不理想</t>
    <phoneticPr fontId="1" type="noConversion"/>
  </si>
  <si>
    <t>おもわしい</t>
    <phoneticPr fontId="1" type="noConversion"/>
  </si>
  <si>
    <t>治療を続けているが、回復は思わしくない。虽然一直在接受治疗，但恢复情况并不理想。</t>
    <phoneticPr fontId="1" type="noConversion"/>
  </si>
  <si>
    <t>思わしい結果が得られなかった。没能得到令人满意的结果。</t>
    <phoneticPr fontId="1" type="noConversion"/>
  </si>
  <si>
    <t>今年は売れ行きが思わしくない。今年的销售情况不太理想。</t>
    <phoneticPr fontId="1" type="noConversion"/>
  </si>
  <si>
    <t>交渉は思わしい方向には進まなかった。谈判没有朝着理想的方向发展。</t>
    <phoneticPr fontId="1" type="noConversion"/>
  </si>
  <si>
    <t>令人满意的、理想的</t>
    <phoneticPr fontId="1" type="noConversion"/>
  </si>
  <si>
    <t>できるだけ早く対応することが望ましい。最好尽早处理。</t>
    <phoneticPr fontId="1" type="noConversion"/>
  </si>
  <si>
    <t>全員が参加することが望ましい。最好所有人都参加。</t>
    <phoneticPr fontId="1" type="noConversion"/>
  </si>
  <si>
    <t>最好，希望，希望是这样</t>
    <phoneticPr fontId="1" type="noConversion"/>
  </si>
  <si>
    <t>经常用于建议、规定、说明理想状态、商务文章等比较正式的场合。希望事情是这样的、希望达到这样的状态</t>
    <phoneticPr fontId="1" type="noConversion"/>
  </si>
  <si>
    <t>問題が起きた場合は、すぐに担当者へ連絡することが望ましい。如果发生问题，你最好立即联系负责人。</t>
    <phoneticPr fontId="1" type="noConversion"/>
  </si>
  <si>
    <t>これは望ましい結果とは言えない。这不能说是希望的结果。</t>
    <phoneticPr fontId="1" type="noConversion"/>
  </si>
  <si>
    <r>
      <t xml:space="preserve">望ましい方法 希望的方法
望ましい結果 希望的结果
</t>
    </r>
    <r>
      <rPr>
        <sz val="11"/>
        <color theme="1"/>
        <rFont val="Microsoft YaHei"/>
        <family val="2"/>
        <charset val="134"/>
      </rPr>
      <t>〜</t>
    </r>
    <r>
      <rPr>
        <sz val="11"/>
        <color theme="1"/>
        <rFont val="等线"/>
        <family val="2"/>
        <scheme val="minor"/>
      </rPr>
      <t>することが望ましい 最好…… / 希望……
望ましくない 不希望出现的</t>
    </r>
    <phoneticPr fontId="1" type="noConversion"/>
  </si>
  <si>
    <t>芳しい花の香りが庭いっぱいに広がっている。花朵的芳香弥漫在整个庭院里。</t>
    <phoneticPr fontId="1" type="noConversion"/>
  </si>
  <si>
    <t>焼きたてのパンから芳しい香りが漂ってきた。刚烤好的面包散发出诱人的香气。</t>
    <phoneticPr fontId="1" type="noConversion"/>
  </si>
  <si>
    <t>今年の会社の業績はあまり芳しくない。今年公司的业绩不太理想。</t>
    <phoneticPr fontId="1" type="noConversion"/>
  </si>
  <si>
    <t>交渉を続けたが、芳しい結果は得られなかった。虽然继续进行了谈判，但没有得到理想的结果。</t>
    <phoneticPr fontId="1" type="noConversion"/>
  </si>
  <si>
    <t>好、理想、令人满意（多为否定）；芳香</t>
    <phoneticPr fontId="1" type="noConversion"/>
  </si>
  <si>
    <t>芳しい結果：理想的结果、令人满意的结果
成績が芳しくない：成绩不理想
業績が芳しくない：业绩不佳
反応が芳しくない：反应不佳
芳しい花の香り：芬芳的花香
芳しい香り：芳香、宜人的香气</t>
    <phoneticPr fontId="1" type="noConversion"/>
  </si>
  <si>
    <r>
      <rPr>
        <sz val="11"/>
        <color rgb="FFFF0000"/>
        <rFont val="等线"/>
        <family val="3"/>
        <charset val="134"/>
      </rPr>
      <t>芳</t>
    </r>
    <r>
      <rPr>
        <sz val="11"/>
        <color theme="1"/>
        <rFont val="等线"/>
        <family val="2"/>
        <scheme val="minor"/>
      </rPr>
      <t>しい</t>
    </r>
    <phoneticPr fontId="1" type="noConversion"/>
  </si>
  <si>
    <t>思わしくない → 没有达到预期
芳しくない → 状况、结果不好、不佳</t>
    <phoneticPr fontId="1" type="noConversion"/>
  </si>
  <si>
    <t>こころぼそい</t>
  </si>
  <si>
    <t>こっけい</t>
  </si>
  <si>
    <t>こどく</t>
  </si>
  <si>
    <t>こなごな</t>
  </si>
  <si>
    <t>このましい</t>
  </si>
  <si>
    <t>こゆう</t>
  </si>
  <si>
    <t>ごんごどうだん</t>
  </si>
  <si>
    <t>こんぽんてき</t>
  </si>
  <si>
    <t>さいあく</t>
  </si>
  <si>
    <t>さいしん</t>
  </si>
  <si>
    <t>さっぷうけい</t>
  </si>
  <si>
    <t>じざい</t>
  </si>
  <si>
    <t>しっそ</t>
  </si>
  <si>
    <t>しつよう</t>
  </si>
  <si>
    <t>しとやか</t>
  </si>
  <si>
    <t>しどろもどろ</t>
  </si>
  <si>
    <t>しなうす</t>
  </si>
  <si>
    <t>おごそか</t>
  </si>
  <si>
    <t>そうごん</t>
  </si>
  <si>
    <t>おせっかい</t>
  </si>
  <si>
    <t>おやこうこう</t>
    <phoneticPr fontId="1" type="noConversion"/>
  </si>
  <si>
    <t>えて</t>
  </si>
  <si>
    <t>えんかつ</t>
  </si>
  <si>
    <t>えんきょく</t>
  </si>
  <si>
    <t>えんまん</t>
  </si>
  <si>
    <t>おうせい</t>
  </si>
  <si>
    <t>おうちゃく</t>
  </si>
  <si>
    <t>おおがら</t>
  </si>
  <si>
    <r>
      <rPr>
        <sz val="11"/>
        <color rgb="FFFF0000"/>
        <rFont val="等线"/>
        <family val="3"/>
        <charset val="134"/>
      </rPr>
      <t>憂</t>
    </r>
    <r>
      <rPr>
        <sz val="11"/>
        <color theme="1"/>
        <rFont val="等线"/>
        <family val="2"/>
        <scheme val="minor"/>
      </rPr>
      <t>い/愁い</t>
    </r>
    <phoneticPr fontId="1" type="noConversion"/>
  </si>
  <si>
    <r>
      <rPr>
        <sz val="11"/>
        <color rgb="FFFF0000"/>
        <rFont val="等线"/>
        <family val="3"/>
        <charset val="134"/>
      </rPr>
      <t>夥</t>
    </r>
    <r>
      <rPr>
        <sz val="11"/>
        <color theme="1"/>
        <rFont val="等线"/>
        <family val="2"/>
        <scheme val="minor"/>
      </rPr>
      <t>しい</t>
    </r>
    <phoneticPr fontId="1" type="noConversion"/>
  </si>
  <si>
    <r>
      <rPr>
        <sz val="11"/>
        <color rgb="FFFF0000"/>
        <rFont val="等线"/>
        <family val="3"/>
        <charset val="134"/>
      </rPr>
      <t>姦</t>
    </r>
    <r>
      <rPr>
        <sz val="11"/>
        <color theme="1"/>
        <rFont val="等线"/>
        <family val="2"/>
        <scheme val="minor"/>
      </rPr>
      <t>しい</t>
    </r>
    <phoneticPr fontId="1" type="noConversion"/>
  </si>
  <si>
    <t>教室の中は学生たちの話し声で姦しかった。教室里充满了学生们嘈杂的说话声。</t>
    <phoneticPr fontId="1" type="noConversion"/>
  </si>
  <si>
    <t>隣の部屋から姦しい声が聞こえてくる。隔壁房间传来吵闹的声音。</t>
    <phoneticPr fontId="1" type="noConversion"/>
  </si>
  <si>
    <t>子供たちが集まると、急に姦しくなる。孩子们一聚在一起，就突然变得吵闹起来。</t>
    <phoneticPr fontId="1" type="noConversion"/>
  </si>
  <si>
    <t>女三人寄れば姦しいというけれど、今日は男ばかりなのにずいぶん姦しい。都说三个女人聚在一起会很吵，但今天明明全是男人，却也吵得够呛。</t>
    <phoneticPr fontId="1" type="noConversion"/>
  </si>
  <si>
    <t>常用于多人说话、喧闹的声音</t>
    <phoneticPr fontId="1" type="noConversion"/>
  </si>
  <si>
    <t>吵闹、喧闹、嘈杂</t>
    <phoneticPr fontId="1" type="noConversion"/>
  </si>
  <si>
    <t>姦しい声：吵闹的声音
姦しい話し声：嘈杂的说话声
姦しいほどの歓声：喧闹的欢呼声
女三人寄れば姦しい：三个女人聚在一起就吵吵闹闹</t>
    <phoneticPr fontId="1" type="noConversion"/>
  </si>
  <si>
    <r>
      <rPr>
        <sz val="11"/>
        <color rgb="FFFF0000"/>
        <rFont val="等线"/>
        <family val="3"/>
        <charset val="134"/>
      </rPr>
      <t>頑</t>
    </r>
    <r>
      <rPr>
        <sz val="11"/>
        <color theme="1"/>
        <rFont val="等线"/>
        <family val="2"/>
        <scheme val="minor"/>
      </rPr>
      <t>な</t>
    </r>
    <phoneticPr fontId="1" type="noConversion"/>
  </si>
  <si>
    <t>頑なな態度：固执的态度
頑なな人：固执的人
頑なに拒む：固执地拒绝
頑なに認めない：坚决不承认
頑なに守る：固执地坚持
頑なに主張する：固执地坚持主张</t>
    <phoneticPr fontId="1" type="noConversion"/>
  </si>
  <si>
    <t>彼は自分の間違いを頑なに認めようとしない。他固执地不肯承认自己的错误。</t>
    <phoneticPr fontId="1" type="noConversion"/>
  </si>
  <si>
    <t>彼女は周囲の反対にもかかわらず、頑なな態度を崩さなかった。尽管周围人都反对，她依然没有改变固执的态度。</t>
    <phoneticPr fontId="1" type="noConversion"/>
  </si>
  <si>
    <t>父は病院へ行くことを頑なに拒んでいる。父亲固执地拒绝去医院。</t>
    <phoneticPr fontId="1" type="noConversion"/>
  </si>
  <si>
    <t>一度決めたことは頑なに守ろうとする人だ。他是一个一旦决定了什么就固执地坚持到底的人。</t>
    <phoneticPr fontId="1" type="noConversion"/>
  </si>
  <si>
    <t>固执、不肯改变。</t>
    <phoneticPr fontId="1" type="noConversion"/>
  </si>
  <si>
    <t>頑固：性格上的固执。说一个人很难改变自己的想法、习惯。
意地っ張り：赌气、爱面子、不服输式的固执，口语感更强。
頑な：具体的态度、行为上的固执不改变，尤其是“不接受劝说、不肯改变”。</t>
    <phoneticPr fontId="1" type="noConversion"/>
  </si>
  <si>
    <t>仄かな光：微弱的光
仄かな香り：淡淡的香气
仄かな明かり：微弱的灯光
仄かな恋心：淡淡的爱慕之情
仄かな期待：一丝期待
仄かに見える：隐约可见
仄かに聞こえる：隐约听见
仄かに香る：散发出淡淡的香气</t>
    <phoneticPr fontId="1" type="noConversion"/>
  </si>
  <si>
    <t>月明かりの中に山の姿が仄かに見える。借着月光，隐约可以看到山的轮廓。</t>
    <phoneticPr fontId="1" type="noConversion"/>
  </si>
  <si>
    <t>部屋には花の香りが仄かに漂っていた。房间里飘着淡淡的花香。</t>
    <phoneticPr fontId="1" type="noConversion"/>
  </si>
  <si>
    <t>彼女に対して仄かな恋心を抱いていた。我对她怀有淡淡的爱慕之情。</t>
    <phoneticPr fontId="1" type="noConversion"/>
  </si>
  <si>
    <t>子供の頃の記憶が仄かに残っている。童年时期的记忆还模模糊糊地留在脑海中。</t>
    <phoneticPr fontId="1" type="noConversion"/>
  </si>
  <si>
    <t>隐约、朦胧，淡淡的</t>
    <phoneticPr fontId="1" type="noConversion"/>
  </si>
  <si>
    <t>隐约存在，但不明显。文学性稍强，常用于光、香气、感情等。</t>
    <phoneticPr fontId="1" type="noConversion"/>
  </si>
  <si>
    <t>微弱到几乎难以察觉。比「仄か」更强调“微弱”。</t>
    <phoneticPr fontId="1" type="noConversion"/>
  </si>
  <si>
    <r>
      <t>かすか（微か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等线"/>
        <family val="2"/>
        <scheme val="minor"/>
      </rPr>
      <t>幽か）</t>
    </r>
    <phoneticPr fontId="1" type="noConversion"/>
  </si>
  <si>
    <t>遠くからかすかな音が聞こえてきた。从远处隐约传来了微弱的声音。</t>
    <phoneticPr fontId="1" type="noConversion"/>
  </si>
  <si>
    <t>窓からかすかな光が差し込んでいる。微弱的光从窗户照了进来。</t>
    <phoneticPr fontId="1" type="noConversion"/>
  </si>
  <si>
    <t>昔のことなので、もうかすかな記憶しか残っていない。因为是很久以前的事情，所以只剩下模糊的记忆了。</t>
    <phoneticPr fontId="1" type="noConversion"/>
  </si>
  <si>
    <t>二つの写真にはかすかな違いしかない。这两张照片之间只有细微的差别。</t>
    <phoneticPr fontId="1" type="noConversion"/>
  </si>
  <si>
    <t>すかな音：微弱的声音
かすかな光：微弱的光
かすかな香り：若有若无的香气
かすかな記憶：模糊的记忆
かすかな希望：一丝希望
かすかな違い：细微的差别
かすかに聞こえる：隐约听见
かすかに見える：隐约看见
かすかに残る：隐约残留</t>
    <phoneticPr fontId="1" type="noConversion"/>
  </si>
  <si>
    <t>微弱、隐约</t>
    <phoneticPr fontId="1" type="noConversion"/>
  </si>
  <si>
    <t>逞しい体つき：健壮的体格
逞しい体：强壮的身体
逞しい腕：强壮有力的手臂
逞しい青年：健壮的青年
逞しい精神：坚强的精神
逞しい生命力：旺盛的生命力
逞しく育つ：茁壮成长
逞しく生きる：坚强地活下去</t>
    <phoneticPr fontId="1" type="noConversion"/>
  </si>
  <si>
    <t>有力量，而且生命力很强。
逞しい体 → 身体强壮
逞しい精神 → 精神坚强
逞しく育つ → 茁壮成长</t>
    <phoneticPr fontId="1" type="noConversion"/>
  </si>
  <si>
    <t>强壮、健壮（身体）；坚强、坚韧（精神、性格）；茁壮、蓬勃发展</t>
    <phoneticPr fontId="1" type="noConversion"/>
  </si>
  <si>
    <t>子供たちは逞しく育った。孩子们茁壮地成长了。</t>
    <phoneticPr fontId="1" type="noConversion"/>
  </si>
  <si>
    <t>彼は物をぞんざいに扱うので、すぐに壊してしまう。他对东西很不爱惜，所以东西很快就弄坏了。</t>
    <phoneticPr fontId="1" type="noConversion"/>
  </si>
  <si>
    <t>客に対してそんなぞんざいな態度を取るべきではない。不应该对客人采取那种轻慢的态度。</t>
    <phoneticPr fontId="1" type="noConversion"/>
  </si>
  <si>
    <t>彼女は上司に対してぞんざいな言葉遣いをしていた。她对上司使用了很随便、失礼的说话方式。</t>
    <phoneticPr fontId="1" type="noConversion"/>
  </si>
  <si>
    <t>忙しかったのか、彼は私の質問にぞんざいに答えただけだった。可能是因为很忙，他只是敷衍地回答了我的问题。</t>
    <phoneticPr fontId="1" type="noConversion"/>
  </si>
  <si>
    <t>ぞんざいに扱う：粗暴地、随便地对待
物をぞんざいに扱う：不爱惜东西、随便使用
人をぞんざいに扱う：不把人当回事、随便对待别人
ぞんざいにする：敷衍、草率处理
ぞんざいな扱い：粗略、随便的对待
ぞんざいな態度：轻慢、敷衍的态度
ぞんざいな言葉遣い：粗鲁的说话方式
ぞんざいな口調：粗鲁随便的语气</t>
    <phoneticPr fontId="1" type="noConversion"/>
  </si>
  <si>
    <t>随便、敷衍、轻慢</t>
    <phoneticPr fontId="1" type="noConversion"/>
  </si>
  <si>
    <t>对人或事物没有认真、细致、应有的态度，随随便便地处理。常与「扱う」「言葉遣い」等搭配</t>
    <phoneticPr fontId="1" type="noConversion"/>
  </si>
  <si>
    <t>安静</t>
  </si>
  <si>
    <t>遺憾</t>
  </si>
  <si>
    <t>粋</t>
  </si>
  <si>
    <t>潔い</t>
  </si>
  <si>
    <t>痛ましい</t>
  </si>
  <si>
    <t>著しい</t>
  </si>
  <si>
    <t>一様</t>
  </si>
  <si>
    <t>一律</t>
  </si>
  <si>
    <t>愛しい</t>
  </si>
  <si>
    <t>否めない</t>
  </si>
  <si>
    <t>嫌味</t>
  </si>
  <si>
    <t>嫌らしい</t>
  </si>
  <si>
    <t>入り用</t>
  </si>
  <si>
    <t>陰気</t>
  </si>
  <si>
    <t>陰湿</t>
  </si>
  <si>
    <t>迂闊</t>
  </si>
  <si>
    <t>後ろ向き</t>
  </si>
  <si>
    <t>後ろめたい</t>
  </si>
  <si>
    <t>おもくるしい</t>
    <phoneticPr fontId="1" type="noConversion"/>
  </si>
  <si>
    <t>沉闷、压抑</t>
    <phoneticPr fontId="1" type="noConversion"/>
  </si>
  <si>
    <t>重苦しい空気：沉闷的空气／压抑的气氛
重苦しい雰囲気：压抑的气氛
重苦しい沈黙：令人压抑的沉默
重苦しい気分：沉重压抑的心情
重苦しい気持ち：沉重难受的心情
胸が重苦しい：胸口沉闷难受</t>
    <phoneticPr fontId="1" type="noConversion"/>
  </si>
  <si>
    <t>部屋の中には重苦しい空気が漂っていた。房间里弥漫着一种压抑的气氛。</t>
    <phoneticPr fontId="1" type="noConversion"/>
  </si>
  <si>
    <t>会議室は重苦しい雰囲気に包まれていた。会议室笼罩着沉重压抑的气氛。</t>
    <phoneticPr fontId="1" type="noConversion"/>
  </si>
  <si>
    <t>彼は失敗のことを考えると、重苦しい気分になる。一想到失败的事情，他就感到心情沉重。</t>
    <phoneticPr fontId="1" type="noConversion"/>
  </si>
  <si>
    <t>緊張のせいか、胸が重苦しく感じる。可能是因为紧张，感觉胸口沉闷难受。</t>
    <phoneticPr fontId="1" type="noConversion"/>
  </si>
  <si>
    <t>沉重得让人感到压抑、不舒服。</t>
    <phoneticPr fontId="1" type="noConversion"/>
  </si>
  <si>
    <t>喧嘩した後なので、二人の間に気まずい空気が流れていた。因为刚吵过架，两个人之间弥漫着尴尬的气氛。</t>
    <phoneticPr fontId="1" type="noConversion"/>
  </si>
  <si>
    <t>何を話せばいいのか分からず、気まずい沈黙が続いた。不知道该说什么，尴尬的沉默持续了下去。</t>
    <phoneticPr fontId="1" type="noConversion"/>
  </si>
  <si>
    <r>
      <rPr>
        <sz val="11"/>
        <color rgb="FFFF0000"/>
        <rFont val="等线"/>
        <family val="3"/>
        <charset val="134"/>
      </rPr>
      <t>元恋人</t>
    </r>
    <r>
      <rPr>
        <sz val="11"/>
        <color theme="1"/>
        <rFont val="等线"/>
        <family val="2"/>
        <scheme val="minor"/>
      </rPr>
      <t>と偶然会って、ちょっと気まずい思いをした。偶然遇到前任，感觉有点尴尬。</t>
    </r>
    <phoneticPr fontId="1" type="noConversion"/>
  </si>
  <si>
    <t>彼と目が合ったが、気まずそうに目をそらした。和他对上视线后，他尴尬地移开了目光。</t>
    <phoneticPr fontId="1" type="noConversion"/>
  </si>
  <si>
    <t>恥ずかしい　自己觉得丢脸、害羞、难为情。重点在自己的心理。
気まずい　人与人之间的气氛不自然、尴尬。重点在双方关系和现场气氛。</t>
    <phoneticPr fontId="1" type="noConversion"/>
  </si>
  <si>
    <r>
      <rPr>
        <sz val="11"/>
        <color rgb="FFFF0000"/>
        <rFont val="等线"/>
        <family val="3"/>
        <charset val="134"/>
      </rPr>
      <t>柔</t>
    </r>
    <r>
      <rPr>
        <sz val="11"/>
        <color theme="1"/>
        <rFont val="等线"/>
        <family val="2"/>
        <scheme val="minor"/>
      </rPr>
      <t>軟</t>
    </r>
    <phoneticPr fontId="1" type="noConversion"/>
  </si>
  <si>
    <t>じゅうなん</t>
    <phoneticPr fontId="1" type="noConversion"/>
  </si>
  <si>
    <t>じゅう不是ゆう</t>
    <phoneticPr fontId="1" type="noConversion"/>
  </si>
  <si>
    <t>ろこつ</t>
  </si>
  <si>
    <t>わざとらしい</t>
  </si>
  <si>
    <t>わずらわしい</t>
  </si>
  <si>
    <t>たんいつ</t>
  </si>
  <si>
    <t>たんてき</t>
  </si>
  <si>
    <t>おろそか</t>
    <phoneticPr fontId="1" type="noConversion"/>
  </si>
  <si>
    <t>彼は少し荒っぽい性格だが、本当は優しい人だ。他性格有点粗暴，但其实是个温柔的人。</t>
    <phoneticPr fontId="1" type="noConversion"/>
  </si>
  <si>
    <t>そんな荒っぽい言葉遣いをするのはやめなさい。别用那么粗鲁的说话方式。</t>
    <phoneticPr fontId="1" type="noConversion"/>
  </si>
  <si>
    <t>荷物をそんなに荒っぽく扱わないでください。请不要那么粗暴地对待行李。</t>
    <phoneticPr fontId="1" type="noConversion"/>
  </si>
  <si>
    <t>彼は荒っぽい運転をするので、乗っていると少し怖い。他开车很猛，所以坐他的车有点害怕。</t>
    <phoneticPr fontId="1" type="noConversion"/>
  </si>
  <si>
    <t>粗暴、粗野</t>
    <phoneticPr fontId="1" type="noConversion"/>
  </si>
  <si>
    <t>荒っぽい性格：粗暴的性格
荒っぽい人：粗暴的人
荒っぽい言葉遣い：粗野的说话方式
荒っぽい口調：粗暴的语气
荒っぽい扱い：粗暴的对待
荒っぽい運転：粗暴、猛冲猛撞的驾驶方式
荒っぽく扱う：粗暴地对待／处理</t>
    <phoneticPr fontId="1" type="noConversion"/>
  </si>
  <si>
    <t>做事、说话、动作等缺少细致和克制，显得粗暴、猛烈。</t>
    <phoneticPr fontId="1" type="noConversion"/>
  </si>
  <si>
    <t>卑劣、可耻</t>
    <phoneticPr fontId="1" type="noConversion"/>
  </si>
  <si>
    <t>浅ましい行為：卑劣的行为
浅ましい考え：卑劣的想法
浅ましい欲望：卑鄙的欲望
浅ましい人間：卑劣的人
浅ましい姿：不堪、狼狈的样子
浅ましい有様：凄惨、不堪的状况
浅ましくなる：变得不堪／变得卑劣</t>
    <phoneticPr fontId="1" type="noConversion"/>
  </si>
  <si>
    <t>人の弱みにつけ込んで金を取るなんて、浅ましい行為だ。利用别人的弱点骗钱，真是卑劣的行为。</t>
    <phoneticPr fontId="1" type="noConversion"/>
  </si>
  <si>
    <t>自分だけ助かろうとするなんて、浅ましい考え方だ。只想着让自己得救，这种想法真卑劣。</t>
    <phoneticPr fontId="1" type="noConversion"/>
  </si>
  <si>
    <t>彼は金に目がくらみ、浅ましい欲望をむき出しにした。他被金钱蒙蔽了双眼，暴露出了卑劣的欲望。</t>
    <phoneticPr fontId="1" type="noConversion"/>
  </si>
  <si>
    <t>落ちぶれて、見る影もない浅ましい姿になってしまった。他落魄到不成样子，变得狼狈不堪。</t>
    <phoneticPr fontId="1" type="noConversion"/>
  </si>
  <si>
    <t>卑しい：更强调品格低下、贪婪、庸俗。尤其可以形容人的欲望、品性。
浅ましい：更强调某种行为或状态不堪、卑劣到令人鄙视。</t>
    <phoneticPr fontId="1" type="noConversion"/>
  </si>
  <si>
    <t>卑しい人：品格低下的人
卑しい心：卑劣、低俗的内心
卑しい考え：卑劣、低俗的想法
卑しい行為：卑劣的行为
金に卑しい：贪财
金に卑しい人：贪财的人
食べ物に卑しい：贪吃、对食物过分贪求
欲が卑しい：欲望低俗、贪得过分</t>
    <phoneticPr fontId="1" type="noConversion"/>
  </si>
  <si>
    <t>金に卑しい人とは付き合いたくない。我不想和贪财的人交往。</t>
    <phoneticPr fontId="1" type="noConversion"/>
  </si>
  <si>
    <t>人の弱みにつけ込むような卑しい行為は許せない。利用别人弱点的卑劣行为令人无法容忍。</t>
    <phoneticPr fontId="1" type="noConversion"/>
  </si>
  <si>
    <t>彼は食べ物に卑しく、他人の分まで欲しがる。他对食物过分贪求，连别人的份也想要。</t>
    <phoneticPr fontId="1" type="noConversion"/>
  </si>
  <si>
    <t>そんな卑しい考え方をするべきではない。不应该抱有那种低俗、卑劣的想法。</t>
    <phoneticPr fontId="1" type="noConversion"/>
  </si>
  <si>
    <t>品格低下、卑劣；贪婪、贪图金钱等</t>
    <phoneticPr fontId="1" type="noConversion"/>
  </si>
  <si>
    <r>
      <rPr>
        <sz val="11"/>
        <color rgb="FFFF0000"/>
        <rFont val="等线"/>
        <family val="3"/>
        <charset val="134"/>
      </rPr>
      <t>卑</t>
    </r>
    <r>
      <rPr>
        <sz val="11"/>
        <color theme="1"/>
        <rFont val="等线"/>
        <family val="2"/>
        <scheme val="minor"/>
      </rPr>
      <t>しい</t>
    </r>
    <phoneticPr fontId="1" type="noConversion"/>
  </si>
  <si>
    <t>用来形容一个人的欲望、行为、态度、品性，尤其是对金钱、食物等表现出过度的贪求时，会带有明显的鄙视意味。</t>
    <phoneticPr fontId="1" type="noConversion"/>
  </si>
  <si>
    <t xml:space="preserve">  </t>
    <phoneticPr fontId="1" type="noConversion"/>
  </si>
  <si>
    <t>程度过于严重、过分</t>
    <phoneticPr fontId="1" type="noConversion"/>
  </si>
  <si>
    <t>被害が甚だしい：受害严重
損害が甚だしい：损失严重
誤解が甚だしい：误解严重
認識不足も甚だしい：认识不足得太严重了
勘違いも甚だしい：完全是严重的误会／错得离谱
公私混同も甚だしい：公私不分得太过分
甚だしく異なる：大不相同</t>
    <phoneticPr fontId="1" type="noConversion"/>
  </si>
  <si>
    <t>今回の台風による被害は甚だしい。此次台风造成的灾害非常严重。</t>
    <phoneticPr fontId="1" type="noConversion"/>
  </si>
  <si>
    <t>彼の発言は事実との相違が甚だしい。他的发言与事实相差甚远。</t>
    <phoneticPr fontId="1" type="noConversion"/>
  </si>
  <si>
    <t>それは勘違いも甚だしい。那完全是大错特错。</t>
    <phoneticPr fontId="1" type="noConversion"/>
  </si>
  <si>
    <t>彼の態度は失礼も甚だしい。他的态度实在是太失礼了。</t>
    <phoneticPr fontId="1" type="noConversion"/>
  </si>
  <si>
    <t>甚だしい：正式、书面，强调程度超过正常范围。严重得厉害、过分至极
ひどい：日常口语，非常常用，范围很广。严重、糟糕、过分</t>
    <phoneticPr fontId="1" type="noConversion"/>
  </si>
  <si>
    <r>
      <rPr>
        <sz val="11"/>
        <color rgb="FFFF0000"/>
        <rFont val="游ゴシック"/>
        <charset val="128"/>
      </rPr>
      <t>甚</t>
    </r>
    <r>
      <rPr>
        <sz val="11"/>
        <color theme="1"/>
        <rFont val="游ゴシック"/>
        <family val="2"/>
        <charset val="128"/>
      </rPr>
      <t>だしい/はなはだし</t>
    </r>
    <phoneticPr fontId="1" type="noConversion"/>
  </si>
  <si>
    <t>騒がしい　さわがしい</t>
    <phoneticPr fontId="1" type="noConversion"/>
  </si>
  <si>
    <r>
      <rPr>
        <sz val="11"/>
        <color rgb="FFFF0000"/>
        <rFont val="游ゴシック"/>
        <charset val="128"/>
      </rPr>
      <t>騒</t>
    </r>
    <r>
      <rPr>
        <sz val="11"/>
        <color theme="1"/>
        <rFont val="游ゴシック"/>
        <family val="2"/>
        <charset val="128"/>
      </rPr>
      <t>々しい</t>
    </r>
    <phoneticPr fontId="1" type="noConversion"/>
  </si>
  <si>
    <t>平稳、平和</t>
    <phoneticPr fontId="1" type="noConversion"/>
  </si>
  <si>
    <t>穏やかな天気：天气平和、和缓
穏やかな海：平静的海
穏やかな生活：安稳的生活
穏やかな日々：平静的日子
穏やかな性格：温和的性格
穏やかな人：温和的人
穏やかな表情：温和、安详的表情
穏やかな口調：温和的语气
穏やかに暮らす：平静安稳地生活</t>
    <phoneticPr fontId="1" type="noConversion"/>
  </si>
  <si>
    <t>穏やかな日々を過ごしたい。我想过平静安稳的日子。</t>
    <phoneticPr fontId="1" type="noConversion"/>
  </si>
  <si>
    <t>彼女は穏やかな口調で事情を説明した。她用温和的语气说明了情况。</t>
    <phoneticPr fontId="1" type="noConversion"/>
  </si>
  <si>
    <t>彼は穏やかな性格で、誰に対しても親切だ。他性格温和，对谁都很亲切。</t>
    <phoneticPr fontId="1" type="noConversion"/>
  </si>
  <si>
    <t>需意会，没有剧烈的变化或冲突，处于平稳、安定的状态，可用于天气、性格、态度、语气、生活状态等场合</t>
    <phoneticPr fontId="1" type="noConversion"/>
  </si>
  <si>
    <t>大雑把</t>
    <phoneticPr fontId="1" type="noConversion"/>
  </si>
  <si>
    <t>不在意细节，只抓大致的部分</t>
    <phoneticPr fontId="1" type="noConversion"/>
  </si>
  <si>
    <t>大雑把な人：粗枝大叶的人
大雑把な性格：粗枝大叶的性格
大雑把な説明：粗略的说明
大雑把な計算：粗略计算
大雑把な計画：大致计划
大雑把に言うと：概括地说
大雑把に分ける：粗略地划分</t>
    <phoneticPr fontId="1" type="noConversion"/>
  </si>
  <si>
    <t>仕事が少し大雑把だから、もっと細かく確認したほうがいい。他工作做得有点马虎，最好再仔细确认一下。</t>
    <phoneticPr fontId="1" type="noConversion"/>
  </si>
  <si>
    <r>
      <rPr>
        <sz val="11"/>
        <color theme="1"/>
        <rFont val="游ゴシック"/>
        <family val="2"/>
        <charset val="128"/>
      </rPr>
      <t>粗枝大叶的，粗心的、</t>
    </r>
    <r>
      <rPr>
        <sz val="11"/>
        <color theme="1"/>
        <rFont val="Microsoft YaHei"/>
        <family val="2"/>
        <charset val="134"/>
      </rPr>
      <t>马</t>
    </r>
    <r>
      <rPr>
        <sz val="11"/>
        <color theme="1"/>
        <rFont val="游ゴシック"/>
        <family val="2"/>
        <charset val="128"/>
      </rPr>
      <t>虎</t>
    </r>
    <r>
      <rPr>
        <sz val="11"/>
        <color theme="1"/>
        <rFont val="等线"/>
        <family val="2"/>
        <charset val="134"/>
      </rPr>
      <t>；粗略</t>
    </r>
    <phoneticPr fontId="1" type="noConversion"/>
  </si>
  <si>
    <t>因为不在身边或无法得到，而对某人、某地、某种事物产生强烈的思念和向往。</t>
    <phoneticPr fontId="1" type="noConversion"/>
  </si>
  <si>
    <t>思念，想念</t>
    <phoneticPr fontId="1" type="noConversion"/>
  </si>
  <si>
    <t>友達が恋しくなった。开始想念朋友了。</t>
    <phoneticPr fontId="1" type="noConversion"/>
  </si>
  <si>
    <t>该注意的地方没有认真处理，导致做事不严谨、不周全</t>
    <phoneticPr fontId="1" type="noConversion"/>
  </si>
  <si>
    <t>ずさんな管理：管理不善、管理马虎
ずさんな計画：考虑不周的计划
ずさんな対応：处理得很不周全
管理がずさんだ：管理很马虎</t>
    <phoneticPr fontId="1" type="noConversion"/>
  </si>
  <si>
    <t>ずさんな計画では成功するのは難しい。如此考虑不周的计划很难成功。</t>
    <phoneticPr fontId="1" type="noConversion"/>
  </si>
  <si>
    <t>彼の仕事は少しずさんなところがある。他的工作有些马虎、不够严谨。</t>
    <phoneticPr fontId="1" type="noConversion"/>
  </si>
  <si>
    <t>事故の原因は、ずさんな安全管理にあった。事故的原因在于不严谨的安全管理。</t>
    <phoneticPr fontId="1" type="noConversion"/>
  </si>
  <si>
    <t>その会社は個人情報の管理がずさんだった。那家公司对个人信息的管理很不严谨。</t>
    <phoneticPr fontId="1" type="noConversion"/>
  </si>
  <si>
    <t>考虑不周，不严谨，不完善，马虎，粗心</t>
    <phoneticPr fontId="1" type="noConversion"/>
  </si>
  <si>
    <t>大致</t>
    <phoneticPr fontId="1" type="noConversion"/>
  </si>
  <si>
    <r>
      <rPr>
        <sz val="11"/>
        <color rgb="FFFF0000"/>
        <rFont val="等线"/>
        <family val="3"/>
        <charset val="134"/>
      </rPr>
      <t>平</t>
    </r>
    <r>
      <rPr>
        <sz val="11"/>
        <color theme="1"/>
        <rFont val="等线"/>
        <family val="2"/>
        <scheme val="minor"/>
      </rPr>
      <t>たい</t>
    </r>
    <phoneticPr fontId="1" type="noConversion"/>
  </si>
  <si>
    <t>ゆゆしい問題 不容忽视的问题
ゆゆしい事態 不容忽视的事态
ゆゆしい状況 不容忽视的状况
ゆゆしい事態を招く 招致严重的事态</t>
    <phoneticPr fontId="1" type="noConversion"/>
  </si>
  <si>
    <t>（严重到）不容忽视。</t>
    <phoneticPr fontId="1" type="noConversion"/>
  </si>
  <si>
    <t>事情严重到不能轻视、不能置之不理。
ゆゆしい＝严重到不能忽视
甚だしい＝程度严重得过头</t>
    <phoneticPr fontId="1" type="noConversion"/>
  </si>
  <si>
    <r>
      <rPr>
        <sz val="11"/>
        <color rgb="FFFF0000"/>
        <rFont val="等线"/>
        <family val="3"/>
        <charset val="134"/>
      </rPr>
      <t>仄</t>
    </r>
    <r>
      <rPr>
        <sz val="11"/>
        <color theme="1"/>
        <rFont val="等线"/>
        <family val="2"/>
        <scheme val="minor"/>
      </rPr>
      <t>か</t>
    </r>
    <phoneticPr fontId="1" type="noConversion"/>
  </si>
  <si>
    <t>　</t>
    <phoneticPr fontId="1" type="noConversion"/>
  </si>
  <si>
    <t>鮮やかな赤い花が咲いている。鲜艳的红花开着。</t>
    <phoneticPr fontId="1" type="noConversion"/>
  </si>
  <si>
    <t>夕焼けが鮮やかに空を染めていた。晚霞把天空染得格外鲜明。</t>
    <phoneticPr fontId="1" type="noConversion"/>
  </si>
  <si>
    <t>子どもの頃の記憶が今でも鮮やかに残っている。小时候的记忆至今仍鲜明地留在脑海中。</t>
    <phoneticPr fontId="1" type="noConversion"/>
  </si>
  <si>
    <t>彼は鮮やかなプレーで相手を抜き去った。他以干脆利落的动作过掉了对手。</t>
    <phoneticPr fontId="1" type="noConversion"/>
  </si>
  <si>
    <t>色彩、动作、表现等非常鲜明突出，让人一眼就感受到。</t>
    <phoneticPr fontId="1" type="noConversion"/>
  </si>
  <si>
    <t>鲜明、鲜艳；（动作、技艺等）利落出色。</t>
    <phoneticPr fontId="1" type="noConversion"/>
  </si>
  <si>
    <t>鮮やかな色：鲜艳的颜色
鮮やかな赤：鲜艳的红色
鮮やかな緑：鲜艳的绿色
鮮やかな印象：鲜明的印象
記憶が鮮やかに残る：记忆鲜明地留存
鮮やかな手さばき：利落的手法
鮮やかな技：高超利落的技艺
鮮やかなプレー：漂亮利落的表现</t>
    <phoneticPr fontId="1" type="noConversion"/>
  </si>
  <si>
    <t>多大なご迷惑をおかけして、申し訳ありません。给您造成了很大的麻烦，非常抱歉。</t>
    <phoneticPr fontId="1" type="noConversion"/>
  </si>
  <si>
    <t>很大</t>
    <phoneticPr fontId="1" type="noConversion"/>
  </si>
  <si>
    <t>この経験は私に多大な影響を与えた。这段经历对我产生了很大的影响。</t>
    <phoneticPr fontId="1" type="noConversion"/>
  </si>
  <si>
    <t>彼は会社の発展に多大な貢献をした。他为公司的发展作出了很大贡献。</t>
    <phoneticPr fontId="1" type="noConversion"/>
  </si>
  <si>
    <t>今回の事故は会社に多大な損害を与えた。这次事故给公司造成了很大的损失。</t>
    <phoneticPr fontId="1" type="noConversion"/>
  </si>
  <si>
    <t>＜甚大（巨大）</t>
    <phoneticPr fontId="1" type="noConversion"/>
  </si>
  <si>
    <t>多大な影響：很大的影响
多大な損害：很大的损失
多大な貢献：很大的贡献
多大なご迷惑：很大的麻烦
多大な努力：很大的努力</t>
    <phoneticPr fontId="1" type="noConversion"/>
  </si>
  <si>
    <t>毛手毛脚，冒失</t>
    <phoneticPr fontId="1" type="noConversion"/>
  </si>
  <si>
    <t>做事不够沉着、慎重，毛毛躁躁，因而容易犯错的人。</t>
    <phoneticPr fontId="1" type="noConversion"/>
  </si>
  <si>
    <t>彼女はそそっかしくて、よく物を忘れる。她冒冒失失的，经常忘东西。</t>
    <phoneticPr fontId="1" type="noConversion"/>
  </si>
  <si>
    <t>そそっかしい人：冒失的人
そそっかしい性格：冒失的性格
そそっかしい行動：冒失的行为
そそっかしくミスする：因为毛手毛脚而出错
そそっかしく動く：冒失行动</t>
    <phoneticPr fontId="1" type="noConversion"/>
  </si>
  <si>
    <t>そそっかしくて、財布を家に置いたまま出てきてしまった。我太冒失了，居然把钱包放在家里就出来了。</t>
    <phoneticPr fontId="1" type="noConversion"/>
  </si>
  <si>
    <t>厚かましい</t>
    <phoneticPr fontId="1" type="noConversion"/>
  </si>
  <si>
    <t>何度も断っているのに、また頼んでくるなんて厚かましい。都拒绝他好几次了，他居然还来拜托，真够厚脸皮的。</t>
    <phoneticPr fontId="1" type="noConversion"/>
  </si>
  <si>
    <t>厚かましいお願いですが、もう一度チャンスをいただけないでしょうか。虽然这个请求有点厚脸皮，但能不能再给我一次机会？</t>
    <phoneticPr fontId="1" type="noConversion"/>
  </si>
  <si>
    <r>
      <t>初対面なのにお金を貸してほしいなんて、ずいぶん厚かましいね。明明才第一次</t>
    </r>
    <r>
      <rPr>
        <sz val="11"/>
        <color theme="1"/>
        <rFont val="Microsoft YaHei"/>
        <family val="2"/>
        <charset val="134"/>
      </rPr>
      <t>见</t>
    </r>
    <r>
      <rPr>
        <sz val="11"/>
        <color theme="1"/>
        <rFont val="游ゴシック"/>
        <family val="2"/>
        <charset val="128"/>
      </rPr>
      <t>面，就开口要借</t>
    </r>
    <r>
      <rPr>
        <sz val="11"/>
        <color theme="1"/>
        <rFont val="Microsoft YaHei"/>
        <family val="2"/>
        <charset val="134"/>
      </rPr>
      <t>钱</t>
    </r>
    <r>
      <rPr>
        <sz val="11"/>
        <color theme="1"/>
        <rFont val="游ゴシック"/>
        <family val="2"/>
        <charset val="128"/>
      </rPr>
      <t>，真够厚</t>
    </r>
    <r>
      <rPr>
        <sz val="11"/>
        <color theme="1"/>
        <rFont val="Microsoft YaHei"/>
        <family val="2"/>
        <charset val="134"/>
      </rPr>
      <t>脸</t>
    </r>
    <r>
      <rPr>
        <sz val="11"/>
        <color theme="1"/>
        <rFont val="游ゴシック"/>
        <family val="2"/>
        <charset val="128"/>
      </rPr>
      <t>皮的。</t>
    </r>
    <phoneticPr fontId="1" type="noConversion"/>
  </si>
  <si>
    <t>あの人は本当に厚かましい人だ。他真是个厚脸皮的人。</t>
    <phoneticPr fontId="1" type="noConversion"/>
  </si>
  <si>
    <t>厚かましい → 自己说自己
図々しい → 他人评价</t>
    <phoneticPr fontId="1" type="noConversion"/>
  </si>
  <si>
    <t>我先快速看一下这个仓库的入口文档、依赖和测试布局，判断它真正的学习主线，再给你一条从“能跑起来”到“能改策略”的路线。</t>
  </si>
  <si>
    <t xml:space="preserve">Read </t>
  </si>
  <si>
    <t>Read , lines 1 to 180</t>
  </si>
  <si>
    <t>Read , lines 1 to 20</t>
  </si>
  <si>
    <t>从仓库结构看，主项目更像“交易系统内核 + 示例”，CTA 策略、CTP 网关等关键扩展是独立包；所以学习顺序不能从底层源码硬啃，而应先围绕一个完整回测闭环，再逐层下探事件引擎、订单模型和实盘连接。下面我再确认一下官方推荐的安装和文档入口，避免给你一条跑不通的路线。</t>
  </si>
  <si>
    <t>Read , lines 1 to 220</t>
  </si>
  <si>
    <t>关键学习对象已经比较清楚：先学会 `Bar/Tick -&gt; Strategy -&gt; Order/Trade -&gt; 统计` 这条链，再理解 `EventEngine` 如何把实时系统串起来；AI 量化目录应放到后面。你的第一阶段最便宜的检验是能独立改一个回测策略，并解释每笔交易为何发生，而不是先读完整个框架。</t>
  </si>
  <si>
    <t>你可以把这个项目当成 **“量化交易系统工程”** 来学，而不是先把所有源码读完。推荐下面这条路线。</t>
  </si>
  <si>
    <t>**一、先补量化基础**</t>
  </si>
  <si>
    <t>Python 语法之外，优先掌握：</t>
  </si>
  <si>
    <t>1. **金融市场基础**</t>
  </si>
  <si>
    <t xml:space="preserve">   - 股票、期货、期权的区别</t>
  </si>
  <si>
    <t xml:space="preserve">   - K 线、Tick、成交量、持仓量</t>
  </si>
  <si>
    <t xml:space="preserve">   - 多空、开平仓、保证金、合约乘数、最小变动价位</t>
  </si>
  <si>
    <t xml:space="preserve">   - 手续费、滑点、涨跌停、夜盘</t>
  </si>
  <si>
    <t>2. **量化基础**</t>
  </si>
  <si>
    <t xml:space="preserve">   - 收益率、年化收益</t>
  </si>
  <si>
    <t xml:space="preserve">   - 最大回撤</t>
  </si>
  <si>
    <t xml:space="preserve">   - 夏普比率</t>
  </si>
  <si>
    <t xml:space="preserve">   - 胜率、盈亏比、交易次数</t>
  </si>
  <si>
    <t xml:space="preserve">   - 过拟合、未来函数、幸存者偏差</t>
  </si>
  <si>
    <t xml:space="preserve">   - 样本内、样本外、滚动回测</t>
  </si>
  <si>
    <t>3. **数据分析工具**</t>
  </si>
  <si>
    <t xml:space="preserve">   - `pandas`：DataFrame、时间索引、窗口计算</t>
  </si>
  <si>
    <t xml:space="preserve">   - `numpy`：数组和向量化计算</t>
  </si>
  <si>
    <t xml:space="preserve">   - `matplotlib` 或 Plotly：画价格、信号、净值曲线</t>
  </si>
  <si>
    <t xml:space="preserve">   - `TA-Lib`：技术指标</t>
  </si>
  <si>
    <t>暂时不用急着学机器学习。没有回测和数据基础时，直接学 AI 量化通常只是把问题变复杂。</t>
  </si>
  <si>
    <t>**二、第一阶段：只学会 CTA 回测**</t>
  </si>
  <si>
    <t>先运行官方的 CTA 回测示例：</t>
  </si>
  <si>
    <t>`backtesting_demo.ipynb`</t>
  </si>
  <si>
    <t>它展示了完整流程：</t>
  </si>
  <si>
    <t>```text</t>
  </si>
  <si>
    <t>设置回测参数</t>
  </si>
  <si>
    <t xml:space="preserve">    -&gt; 加载历史数据</t>
  </si>
  <si>
    <t xml:space="preserve">    -&gt; 添加策略</t>
  </si>
  <si>
    <t xml:space="preserve">    -&gt; 执行回测</t>
  </si>
  <si>
    <t xml:space="preserve">    -&gt; 计算交易结果</t>
  </si>
  <si>
    <t xml:space="preserve">    -&gt; 计算统计指标</t>
  </si>
  <si>
    <t xml:space="preserve">    -&gt; 参数优化</t>
  </si>
  <si>
    <t>```</t>
  </si>
  <si>
    <t>你需要搞懂这些参数：</t>
  </si>
  <si>
    <t>```python</t>
  </si>
  <si>
    <t>engine.set_parameters(</t>
  </si>
  <si>
    <t xml:space="preserve">    vt_symbol="IF888.CFFEX",</t>
  </si>
  <si>
    <t xml:space="preserve">    interval="1m",</t>
  </si>
  <si>
    <t xml:space="preserve">    start=...,</t>
  </si>
  <si>
    <t xml:space="preserve">    end=...,</t>
  </si>
  <si>
    <t xml:space="preserve">    rate=...,</t>
  </si>
  <si>
    <t xml:space="preserve">    slippage=...,</t>
  </si>
  <si>
    <t xml:space="preserve">    size=...,</t>
  </si>
  <si>
    <t xml:space="preserve">    pricetick=...,</t>
  </si>
  <si>
    <t xml:space="preserve">    capital=...,</t>
  </si>
  <si>
    <t>)</t>
  </si>
  <si>
    <t>特别注意：</t>
  </si>
  <si>
    <t>- `size`：合约乘数</t>
  </si>
  <si>
    <t>- `pricetick`：最小价格变动</t>
  </si>
  <si>
    <t>- `rate`：手续费</t>
  </si>
  <si>
    <t>- `slippage`：滑点</t>
  </si>
  <si>
    <t>- `capital`：初始资金</t>
  </si>
  <si>
    <t>如果这些参数不理解，回测结果即使看起来很漂亮，也没有实际意义。</t>
  </si>
  <si>
    <t>**三、第二阶段：自己写一个最简单的策略**</t>
  </si>
  <si>
    <t>不要一开始研究复杂策略。按这个顺序练习：</t>
  </si>
  <si>
    <t>1. 均线金叉死叉</t>
  </si>
  <si>
    <t>2. 固定止盈止损</t>
  </si>
  <si>
    <t>3. ATR 动态止损</t>
  </si>
  <si>
    <t>4. 加入交易时间限制</t>
  </si>
  <si>
    <t>5. 加入仓位控制</t>
  </si>
  <si>
    <t>6. 加入手续费和滑点敏感性测试</t>
  </si>
  <si>
    <t>目标是能够回答：</t>
  </si>
  <si>
    <t>这里最重要的不是“找到赚钱策略”，而是建立从 **数据到交易结果** 的因果理解。</t>
  </si>
  <si>
    <t>**四、第三阶段：理解项目的核心对象**</t>
  </si>
  <si>
    <t>建议按这个顺序阅读源码：</t>
  </si>
  <si>
    <t>1. `constant.py`</t>
  </si>
  <si>
    <t xml:space="preserve">   - 方向：多、空</t>
  </si>
  <si>
    <t xml:space="preserve">   - 开平：开仓、平仓</t>
  </si>
  <si>
    <t xml:space="preserve">   - 委托类型</t>
  </si>
  <si>
    <t xml:space="preserve">   - 委托状态</t>
  </si>
  <si>
    <t xml:space="preserve">   - 品种、交易所、周期</t>
  </si>
  <si>
    <t>2. `object.py`</t>
  </si>
  <si>
    <t xml:space="preserve">   - `TickData`</t>
  </si>
  <si>
    <t xml:space="preserve">   - `BarData`</t>
  </si>
  <si>
    <t xml:space="preserve">   - `OrderData`</t>
  </si>
  <si>
    <t xml:space="preserve">   - `TradeData`</t>
  </si>
  <si>
    <t xml:space="preserve">   - `PositionData`</t>
  </si>
  <si>
    <t xml:space="preserve">   - `AccountData`</t>
  </si>
  <si>
    <t>这些类描述了交易系统里流动的“业务数据”。例如：</t>
  </si>
  <si>
    <t>行情 -&gt; TickData / BarData</t>
  </si>
  <si>
    <t>下单 -&gt; OrderRequest</t>
  </si>
  <si>
    <t>委托回报 -&gt; OrderData</t>
  </si>
  <si>
    <t>成交回报 -&gt; TradeData</t>
  </si>
  <si>
    <t>持仓 -&gt; PositionData</t>
  </si>
  <si>
    <t>账户 -&gt; AccountData</t>
  </si>
  <si>
    <t>3. `engine.py`</t>
  </si>
  <si>
    <t xml:space="preserve">   - `Event`</t>
  </si>
  <si>
    <t xml:space="preserve">   - `register`</t>
  </si>
  <si>
    <t xml:space="preserve">   - `put`</t>
  </si>
  <si>
    <t xml:space="preserve">   - `start`</t>
  </si>
  <si>
    <t xml:space="preserve">   - `stop`</t>
  </si>
  <si>
    <t>这个文件体现了 VeighNa 的核心思想：**事件驱动**。</t>
  </si>
  <si>
    <t>实时交易不是简单地从上到下执行：</t>
  </si>
  <si>
    <t>读取数据 -&gt; 计算 -&gt; 下单 -&gt; 结束</t>
  </si>
  <si>
    <t>而更像是：</t>
  </si>
  <si>
    <t>行情事件</t>
  </si>
  <si>
    <t xml:space="preserve">    -&gt; 策略收到行情</t>
  </si>
  <si>
    <t xml:space="preserve">    -&gt; 策略发出委托请求</t>
  </si>
  <si>
    <t xml:space="preserve">    -&gt; 网关发送委托</t>
  </si>
  <si>
    <t xml:space="preserve">    -&gt; 收到委托回报</t>
  </si>
  <si>
    <t xml:space="preserve">    -&gt; 收到成交回报</t>
  </si>
  <si>
    <t xml:space="preserve">    -&gt; 更新持仓和账户</t>
  </si>
  <si>
    <t>**五、第四阶段：再学习实盘结构**</t>
  </si>
  <si>
    <t>等回测基本熟悉后，再看：</t>
  </si>
  <si>
    <t>- `MainEngine`</t>
  </si>
  <si>
    <t>- `Gateway`</t>
  </si>
  <si>
    <t>- `DataEngine`</t>
  </si>
  <si>
    <t>- `OmsEngine`</t>
  </si>
  <si>
    <t>- `CtaEngine`</t>
  </si>
  <si>
    <t>`run.py` 是一个很好的实盘入口示例，但其中包含 CTP 账户配置。建议顺序是：</t>
  </si>
  <si>
    <t>回测</t>
  </si>
  <si>
    <t xml:space="preserve">    -&gt; 模拟交易</t>
  </si>
  <si>
    <t xml:space="preserve">    -&gt; 纸面交易</t>
  </si>
  <si>
    <t xml:space="preserve">    -&gt; 仿真账户</t>
  </si>
  <si>
    <t xml:space="preserve">    -&gt; 小资金实盘</t>
  </si>
  <si>
    <t>不要直接连接真实账户。实盘问题往往不是策略公式，而是断线重连、重复下单、成交回报延迟、持仓不同步等工程问题。</t>
  </si>
  <si>
    <t>**六、AI 量化放到最后**</t>
  </si>
  <si>
    <t>仓库里的 `alpha` 模块主要涉及：</t>
  </si>
  <si>
    <t>建议在你能完成以下任务后再学：</t>
  </si>
  <si>
    <t>机器学习预测准确率高，不等于策略赚钱；交易成本、换手率和信号延迟都可能让结果完全不同。</t>
  </si>
  <si>
    <t>**推荐你的实际学习任务**</t>
  </si>
  <si>
    <t>按这个顺序做四个小项目：</t>
  </si>
  <si>
    <t>1. 用已有回测示例跑通 ATR-RSI 策略。</t>
  </si>
  <si>
    <t>2. 把策略改成双均线策略。</t>
  </si>
  <si>
    <t>3. 增加手续费、滑点、止损，并比较结果。</t>
  </si>
  <si>
    <t>4. 写一个交易日志分析脚本，统计每笔交易、最大回撤和月度收益。</t>
  </si>
  <si>
    <t>做到第 4 个项目，你就已经不是“只会调用框架”的使用者了，而是开始理解这个项目了。</t>
  </si>
  <si>
    <t>一句话总结：</t>
  </si>
  <si>
    <t>&gt; 先学量化交易概念，再学 CTA 回测；先会写策略，再读事件引擎；先理解交易链路，最后学习实盘和 AI 模块。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</si>
</sst>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游ゴシック"/>
      <family val="2"/>
      <charset val="128"/>
    </font>
    <font>
      <sz val="11"/>
      <color theme="1"/>
      <name val="游ゴシック"/>
      <family val="3"/>
      <charset val="128"/>
    </font>
    <font>
      <sz val="11"/>
      <color rgb="FFFF0000"/>
      <name val="等线"/>
      <family val="4"/>
      <charset val="134"/>
      <scheme val="minor"/>
    </font>
    <font>
      <sz val="11"/>
      <color rgb="FFFF0000"/>
      <name val="游ゴシック"/>
      <family val="3"/>
      <charset val="128"/>
    </font>
    <font>
      <sz val="11"/>
      <color theme="1"/>
      <name val="等线"/>
      <family val="4"/>
      <charset val="134"/>
      <scheme val="minor"/>
    </font>
    <font>
      <sz val="11"/>
      <color theme="1"/>
      <name val="等线"/>
      <family val="2"/>
      <charset val="134"/>
    </font>
    <font>
      <sz val="11"/>
      <color theme="1"/>
      <name val="等线"/>
      <family val="2"/>
      <charset val="128"/>
    </font>
    <font>
      <sz val="11"/>
      <color rgb="FFFF0000"/>
      <name val="游ゴシック"/>
      <family val="2"/>
      <charset val="128"/>
    </font>
    <font>
      <sz val="11"/>
      <color rgb="FFFF0000"/>
      <name val="等线"/>
      <family val="2"/>
      <charset val="134"/>
    </font>
    <font>
      <sz val="11"/>
      <color rgb="FFFF0000"/>
      <name val="等线"/>
      <family val="2"/>
      <charset val="128"/>
    </font>
    <font>
      <sz val="11"/>
      <color theme="1"/>
      <name val="DengXian"/>
      <family val="2"/>
      <charset val="134"/>
    </font>
    <font>
      <sz val="11"/>
      <color rgb="FFFF0000"/>
      <name val="等线"/>
      <family val="2"/>
      <scheme val="minor"/>
    </font>
    <font>
      <sz val="11"/>
      <color theme="1"/>
      <name val="Microsoft YaHei"/>
      <family val="2"/>
      <charset val="134"/>
    </font>
    <font>
      <sz val="11"/>
      <color theme="1"/>
      <name val="等线"/>
      <family val="2"/>
      <charset val="128"/>
      <scheme val="minor"/>
    </font>
    <font>
      <b/>
      <sz val="11"/>
      <color theme="1"/>
      <name val="等线"/>
      <family val="4"/>
      <charset val="134"/>
      <scheme val="minor"/>
    </font>
    <font>
      <sz val="11"/>
      <color theme="1"/>
      <name val="Microsoft YaHei UI"/>
      <family val="2"/>
      <charset val="134"/>
    </font>
    <font>
      <sz val="11"/>
      <color rgb="FFFF0000"/>
      <name val="等线"/>
      <family val="3"/>
      <charset val="134"/>
    </font>
    <font>
      <sz val="11"/>
      <color rgb="FFFF0000"/>
      <name val="游ゴシック"/>
      <charset val="128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</font>
    <font>
      <sz val="11"/>
      <color theme="1"/>
      <name val="游ゴシック"/>
      <charset val="128"/>
    </font>
    <font>
      <sz val="11"/>
      <color rgb="FF000000"/>
      <name val="等线"/>
      <family val="4"/>
      <charset val="134"/>
      <scheme val="minor"/>
    </font>
    <font>
      <sz val="11"/>
      <color theme="1"/>
      <name val="Microsoft YaHe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6" fillId="0" borderId="0" xfId="0" applyFont="1"/>
    <xf numFmtId="0" fontId="8" fillId="0" borderId="0" xfId="0" applyFont="1"/>
    <xf numFmtId="0" fontId="0" fillId="2" borderId="0" xfId="0" applyFill="1" applyAlignment="1">
      <alignment wrapText="1"/>
    </xf>
    <xf numFmtId="0" fontId="15" fillId="0" borderId="0" xfId="0" applyFont="1"/>
    <xf numFmtId="0" fontId="2" fillId="2" borderId="0" xfId="0" applyFont="1" applyFill="1"/>
    <xf numFmtId="0" fontId="8" fillId="2" borderId="0" xfId="0" applyFont="1" applyFill="1"/>
    <xf numFmtId="0" fontId="3" fillId="0" borderId="0" xfId="0" applyFont="1"/>
    <xf numFmtId="0" fontId="12" fillId="0" borderId="0" xfId="0" applyFont="1"/>
    <xf numFmtId="0" fontId="3" fillId="2" borderId="0" xfId="0" applyFont="1" applyFill="1"/>
    <xf numFmtId="0" fontId="6" fillId="2" borderId="0" xfId="0" applyFont="1" applyFill="1"/>
    <xf numFmtId="0" fontId="4" fillId="0" borderId="0" xfId="0" applyFont="1"/>
    <xf numFmtId="0" fontId="4" fillId="2" borderId="0" xfId="0" applyFont="1" applyFill="1"/>
    <xf numFmtId="0" fontId="5" fillId="2" borderId="0" xfId="0" applyFont="1" applyFill="1"/>
    <xf numFmtId="0" fontId="12" fillId="2" borderId="0" xfId="0" applyFont="1" applyFill="1"/>
    <xf numFmtId="0" fontId="0" fillId="0" borderId="0" xfId="0" applyAlignment="1">
      <alignment wrapText="1"/>
    </xf>
    <xf numFmtId="49" fontId="0" fillId="2" borderId="0" xfId="0" applyNumberFormat="1" applyFill="1"/>
    <xf numFmtId="49" fontId="2" fillId="2" borderId="0" xfId="0" applyNumberFormat="1" applyFont="1" applyFill="1" applyAlignment="1">
      <alignment horizontal="right" vertical="center"/>
    </xf>
    <xf numFmtId="49" fontId="2" fillId="2" borderId="0" xfId="0" applyNumberFormat="1" applyFont="1" applyFill="1"/>
    <xf numFmtId="49" fontId="8" fillId="2" borderId="0" xfId="0" applyNumberFormat="1" applyFont="1" applyFill="1"/>
    <xf numFmtId="0" fontId="2" fillId="2" borderId="0" xfId="0" applyFont="1" applyFill="1" applyAlignment="1">
      <alignment horizontal="right" vertical="center"/>
    </xf>
    <xf numFmtId="0" fontId="5" fillId="0" borderId="0" xfId="0" applyFont="1"/>
    <xf numFmtId="0" fontId="9" fillId="0" borderId="0" xfId="0" applyFont="1"/>
    <xf numFmtId="0" fontId="11" fillId="2" borderId="0" xfId="0" applyFont="1" applyFill="1"/>
    <xf numFmtId="0" fontId="16" fillId="0" borderId="0" xfId="0" applyFont="1"/>
    <xf numFmtId="0" fontId="13" fillId="0" borderId="0" xfId="0" applyFont="1"/>
    <xf numFmtId="49" fontId="2" fillId="0" borderId="0" xfId="0" applyNumberFormat="1" applyFont="1"/>
    <xf numFmtId="49" fontId="0" fillId="0" borderId="0" xfId="0" applyNumberFormat="1"/>
    <xf numFmtId="49" fontId="2" fillId="0" borderId="0" xfId="0" applyNumberFormat="1" applyFont="1" applyAlignment="1">
      <alignment horizontal="right" vertical="center"/>
    </xf>
    <xf numFmtId="0" fontId="20" fillId="2" borderId="0" xfId="0" applyFont="1" applyFill="1"/>
    <xf numFmtId="0" fontId="20" fillId="0" borderId="0" xfId="0" applyFont="1"/>
    <xf numFmtId="0" fontId="18" fillId="2" borderId="0" xfId="0" applyFont="1" applyFill="1"/>
    <xf numFmtId="0" fontId="2" fillId="2" borderId="0" xfId="0" applyFont="1" applyFill="1" applyAlignment="1">
      <alignment wrapText="1"/>
    </xf>
    <xf numFmtId="0" fontId="0" fillId="0" borderId="0" xfId="0" applyFill="1"/>
    <xf numFmtId="0" fontId="23" fillId="0" borderId="0" xfId="0" applyFont="1"/>
    <xf numFmtId="0" fontId="22" fillId="2" borderId="0" xfId="0" applyFont="1" applyFill="1"/>
    <xf numFmtId="0" fontId="22" fillId="0" borderId="0" xfId="0" applyFont="1"/>
    <xf numFmtId="0" fontId="19" fillId="2" borderId="0" xfId="0" applyFont="1" applyFill="1"/>
  </cellXfs>
  <cellStyles count="1">
    <cellStyle name="常规" xfId="0" builtinId="0"/>
  </cellStyles>
  <dxfs count="8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5E590-B9B1-4D47-A274-652C0839A71D}">
  <dimension ref="B1:B3"/>
  <sheetViews>
    <sheetView workbookViewId="0">
      <selection activeCell="X7" sqref="X7"/>
    </sheetView>
  </sheetViews>
  <sheetFormatPr baseColWidth="10" defaultColWidth="8.83203125" defaultRowHeight="15"/>
  <sheetData>
    <row r="1" spans="2:2">
      <c r="B1" t="s">
        <v>0</v>
      </c>
    </row>
    <row r="2" spans="2:2">
      <c r="B2" t="s">
        <v>1</v>
      </c>
    </row>
    <row r="3" spans="2:2" ht="18">
      <c r="B3" s="7" t="s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5DDD8-2F84-448B-A3F6-6B524033826D}">
  <dimension ref="A1:P422"/>
  <sheetViews>
    <sheetView topLeftCell="A389" workbookViewId="0">
      <selection activeCell="I293" sqref="I293"/>
    </sheetView>
  </sheetViews>
  <sheetFormatPr baseColWidth="10" defaultColWidth="8.83203125" defaultRowHeight="15"/>
  <cols>
    <col min="1" max="1" width="10.1640625" bestFit="1" customWidth="1"/>
    <col min="4" max="4" width="17" customWidth="1"/>
    <col min="5" max="5" width="28.5" customWidth="1"/>
    <col min="6" max="6" width="32.6640625" customWidth="1"/>
    <col min="11" max="11" width="8.6640625" style="2"/>
    <col min="12" max="12" width="32" customWidth="1"/>
    <col min="13" max="13" width="8.6640625" style="2"/>
  </cols>
  <sheetData>
    <row r="1" spans="1:12" s="2" customFormat="1" ht="96">
      <c r="A1" s="2" t="s">
        <v>2865</v>
      </c>
      <c r="C1" s="2" t="s">
        <v>2879</v>
      </c>
      <c r="E1" s="2" t="s">
        <v>2916</v>
      </c>
      <c r="G1" s="2" t="s">
        <v>2918</v>
      </c>
      <c r="H1" s="2" t="s">
        <v>2919</v>
      </c>
      <c r="I1" s="2" t="s">
        <v>2920</v>
      </c>
      <c r="J1" s="2" t="s">
        <v>2921</v>
      </c>
      <c r="L1" s="6" t="s">
        <v>2917</v>
      </c>
    </row>
    <row r="2" spans="1:12">
      <c r="A2" t="s">
        <v>1026</v>
      </c>
      <c r="C2" t="s">
        <v>2880</v>
      </c>
    </row>
    <row r="3" spans="1:12" s="2" customFormat="1" ht="96">
      <c r="A3" s="2" t="s">
        <v>2867</v>
      </c>
      <c r="C3" s="2" t="s">
        <v>2866</v>
      </c>
      <c r="E3" s="2" t="s">
        <v>2923</v>
      </c>
      <c r="F3" s="2" t="s">
        <v>2928</v>
      </c>
      <c r="G3" s="2" t="s">
        <v>2924</v>
      </c>
      <c r="H3" s="2" t="s">
        <v>2925</v>
      </c>
      <c r="I3" s="2" t="s">
        <v>2926</v>
      </c>
      <c r="J3" s="2" t="s">
        <v>2927</v>
      </c>
      <c r="L3" s="6" t="s">
        <v>2922</v>
      </c>
    </row>
    <row r="4" spans="1:12" s="2" customFormat="1">
      <c r="A4" s="2" t="s">
        <v>2868</v>
      </c>
      <c r="C4" s="2" t="s">
        <v>2881</v>
      </c>
    </row>
    <row r="5" spans="1:12" s="2" customFormat="1" ht="112">
      <c r="A5" s="2" t="s">
        <v>2869</v>
      </c>
      <c r="C5" s="2" t="s">
        <v>2882</v>
      </c>
      <c r="E5" s="2" t="s">
        <v>3871</v>
      </c>
      <c r="F5" s="6" t="s">
        <v>3877</v>
      </c>
      <c r="G5" s="2" t="s">
        <v>3873</v>
      </c>
      <c r="H5" s="2" t="s">
        <v>3874</v>
      </c>
      <c r="I5" s="2" t="s">
        <v>3875</v>
      </c>
      <c r="J5" s="2" t="s">
        <v>3876</v>
      </c>
      <c r="L5" s="6" t="s">
        <v>3872</v>
      </c>
    </row>
    <row r="6" spans="1:12">
      <c r="A6" t="s">
        <v>2870</v>
      </c>
      <c r="C6" t="s">
        <v>2883</v>
      </c>
      <c r="E6" t="s">
        <v>2870</v>
      </c>
    </row>
    <row r="7" spans="1:12" s="2" customFormat="1" ht="128">
      <c r="A7" s="32" t="s">
        <v>2915</v>
      </c>
      <c r="C7" s="2" t="s">
        <v>2884</v>
      </c>
      <c r="E7" s="2" t="s">
        <v>3930</v>
      </c>
      <c r="F7" s="2" t="s">
        <v>3929</v>
      </c>
      <c r="G7" s="2" t="s">
        <v>3925</v>
      </c>
      <c r="H7" s="2" t="s">
        <v>3926</v>
      </c>
      <c r="I7" s="2" t="s">
        <v>3927</v>
      </c>
      <c r="J7" s="2" t="s">
        <v>3928</v>
      </c>
      <c r="L7" s="6" t="s">
        <v>3931</v>
      </c>
    </row>
    <row r="8" spans="1:12" s="2" customFormat="1" ht="128">
      <c r="A8" s="2" t="s">
        <v>2871</v>
      </c>
      <c r="C8" s="2" t="s">
        <v>2507</v>
      </c>
      <c r="E8" s="2" t="s">
        <v>2984</v>
      </c>
      <c r="F8" s="2" t="s">
        <v>2983</v>
      </c>
      <c r="G8" s="2" t="s">
        <v>2978</v>
      </c>
      <c r="H8" s="2" t="s">
        <v>2979</v>
      </c>
      <c r="I8" s="2" t="s">
        <v>2980</v>
      </c>
      <c r="J8" s="2" t="s">
        <v>2981</v>
      </c>
      <c r="L8" s="6" t="s">
        <v>2982</v>
      </c>
    </row>
    <row r="9" spans="1:12">
      <c r="A9" t="s">
        <v>2872</v>
      </c>
      <c r="C9" t="s">
        <v>2885</v>
      </c>
      <c r="E9" t="s">
        <v>2872</v>
      </c>
    </row>
    <row r="10" spans="1:12" s="2" customFormat="1" ht="128">
      <c r="A10" s="32" t="s">
        <v>2935</v>
      </c>
      <c r="C10" s="2" t="s">
        <v>2886</v>
      </c>
      <c r="E10" s="2" t="s">
        <v>2929</v>
      </c>
      <c r="F10" s="2" t="s">
        <v>2936</v>
      </c>
      <c r="G10" s="2" t="s">
        <v>2930</v>
      </c>
      <c r="H10" s="2" t="s">
        <v>2931</v>
      </c>
      <c r="I10" s="2" t="s">
        <v>2932</v>
      </c>
      <c r="J10" s="2" t="s">
        <v>2933</v>
      </c>
      <c r="L10" s="6" t="s">
        <v>2934</v>
      </c>
    </row>
    <row r="11" spans="1:12">
      <c r="A11" t="s">
        <v>2874</v>
      </c>
      <c r="C11" t="s">
        <v>2873</v>
      </c>
      <c r="E11" t="s">
        <v>2874</v>
      </c>
    </row>
    <row r="12" spans="1:12">
      <c r="A12" t="s">
        <v>2875</v>
      </c>
      <c r="C12" t="s">
        <v>2887</v>
      </c>
      <c r="E12" t="s">
        <v>2875</v>
      </c>
    </row>
    <row r="13" spans="1:12" s="2" customFormat="1" ht="128">
      <c r="A13" s="2" t="s">
        <v>2877</v>
      </c>
      <c r="C13" s="2" t="s">
        <v>2876</v>
      </c>
      <c r="E13" s="2" t="s">
        <v>2937</v>
      </c>
      <c r="F13" s="2" t="s">
        <v>2943</v>
      </c>
      <c r="G13" s="2" t="s">
        <v>2939</v>
      </c>
      <c r="H13" s="2" t="s">
        <v>2940</v>
      </c>
      <c r="I13" s="2" t="s">
        <v>2941</v>
      </c>
      <c r="J13" s="2" t="s">
        <v>2942</v>
      </c>
      <c r="L13" s="6" t="s">
        <v>2938</v>
      </c>
    </row>
    <row r="14" spans="1:12" ht="128">
      <c r="A14" t="s">
        <v>2878</v>
      </c>
      <c r="C14" t="s">
        <v>2888</v>
      </c>
      <c r="E14" t="s">
        <v>3868</v>
      </c>
      <c r="F14" t="s">
        <v>3870</v>
      </c>
      <c r="G14" t="s">
        <v>3864</v>
      </c>
      <c r="H14" t="s">
        <v>3865</v>
      </c>
      <c r="I14" t="s">
        <v>3866</v>
      </c>
      <c r="J14" t="s">
        <v>3867</v>
      </c>
      <c r="L14" s="18" t="s">
        <v>3869</v>
      </c>
    </row>
    <row r="15" spans="1:12" s="2" customFormat="1">
      <c r="A15" s="2" t="s">
        <v>2687</v>
      </c>
      <c r="C15" s="2" t="s">
        <v>2889</v>
      </c>
      <c r="E15" s="2" t="s">
        <v>2949</v>
      </c>
      <c r="F15" s="2" t="s">
        <v>2948</v>
      </c>
      <c r="G15" s="2" t="s">
        <v>2944</v>
      </c>
      <c r="H15" s="2" t="s">
        <v>2945</v>
      </c>
      <c r="I15" s="2" t="s">
        <v>2946</v>
      </c>
      <c r="J15" s="2" t="s">
        <v>2947</v>
      </c>
    </row>
    <row r="16" spans="1:12">
      <c r="A16" t="s">
        <v>2688</v>
      </c>
      <c r="C16" t="s">
        <v>2890</v>
      </c>
      <c r="E16" t="s">
        <v>2890</v>
      </c>
    </row>
    <row r="17" spans="1:12">
      <c r="A17" t="s">
        <v>2689</v>
      </c>
      <c r="C17" t="s">
        <v>2891</v>
      </c>
      <c r="E17" t="s">
        <v>3824</v>
      </c>
    </row>
    <row r="18" spans="1:12">
      <c r="A18" t="s">
        <v>2690</v>
      </c>
      <c r="C18" t="s">
        <v>2892</v>
      </c>
      <c r="E18" t="s">
        <v>3825</v>
      </c>
    </row>
    <row r="19" spans="1:12">
      <c r="A19" t="s">
        <v>2691</v>
      </c>
      <c r="C19" t="s">
        <v>2893</v>
      </c>
      <c r="E19" t="s">
        <v>3826</v>
      </c>
    </row>
    <row r="20" spans="1:12">
      <c r="A20" t="s">
        <v>2692</v>
      </c>
      <c r="C20" t="s">
        <v>2894</v>
      </c>
      <c r="E20" t="s">
        <v>3827</v>
      </c>
    </row>
    <row r="21" spans="1:12">
      <c r="A21" t="s">
        <v>2693</v>
      </c>
      <c r="C21" t="s">
        <v>2895</v>
      </c>
      <c r="E21" t="s">
        <v>3828</v>
      </c>
    </row>
    <row r="22" spans="1:12">
      <c r="A22" t="s">
        <v>2377</v>
      </c>
      <c r="C22" t="s">
        <v>2379</v>
      </c>
      <c r="E22" t="s">
        <v>3829</v>
      </c>
    </row>
    <row r="23" spans="1:12">
      <c r="A23" t="s">
        <v>2694</v>
      </c>
      <c r="C23" t="s">
        <v>2896</v>
      </c>
      <c r="E23" t="s">
        <v>3830</v>
      </c>
    </row>
    <row r="24" spans="1:12">
      <c r="A24" t="s">
        <v>2695</v>
      </c>
      <c r="C24" t="s">
        <v>2897</v>
      </c>
      <c r="E24" t="s">
        <v>3831</v>
      </c>
    </row>
    <row r="25" spans="1:12">
      <c r="A25" t="s">
        <v>2696</v>
      </c>
      <c r="C25" t="s">
        <v>2898</v>
      </c>
      <c r="E25" t="s">
        <v>3832</v>
      </c>
    </row>
    <row r="26" spans="1:12">
      <c r="A26" t="s">
        <v>2697</v>
      </c>
      <c r="C26" t="s">
        <v>2899</v>
      </c>
      <c r="E26" t="s">
        <v>3833</v>
      </c>
    </row>
    <row r="27" spans="1:12" s="2" customFormat="1" ht="144">
      <c r="A27" s="32" t="s">
        <v>3884</v>
      </c>
      <c r="C27" s="2" t="s">
        <v>2900</v>
      </c>
      <c r="E27" s="2" t="s">
        <v>3883</v>
      </c>
      <c r="F27" s="2" t="s">
        <v>3885</v>
      </c>
      <c r="G27" s="2" t="s">
        <v>3879</v>
      </c>
      <c r="H27" s="2" t="s">
        <v>3880</v>
      </c>
      <c r="I27" s="2" t="s">
        <v>3881</v>
      </c>
      <c r="J27" s="2" t="s">
        <v>3882</v>
      </c>
      <c r="L27" s="6" t="s">
        <v>3878</v>
      </c>
    </row>
    <row r="28" spans="1:12">
      <c r="A28" t="s">
        <v>2698</v>
      </c>
      <c r="C28" t="s">
        <v>2901</v>
      </c>
      <c r="E28" t="s">
        <v>3834</v>
      </c>
    </row>
    <row r="29" spans="1:12">
      <c r="A29" t="s">
        <v>2699</v>
      </c>
      <c r="C29" t="s">
        <v>2902</v>
      </c>
      <c r="E29" t="s">
        <v>3835</v>
      </c>
    </row>
    <row r="30" spans="1:12">
      <c r="A30" t="s">
        <v>2700</v>
      </c>
      <c r="C30" t="s">
        <v>2903</v>
      </c>
      <c r="E30" t="s">
        <v>3836</v>
      </c>
    </row>
    <row r="31" spans="1:12">
      <c r="A31" t="s">
        <v>2701</v>
      </c>
      <c r="C31" t="s">
        <v>2904</v>
      </c>
      <c r="E31" t="s">
        <v>3837</v>
      </c>
    </row>
    <row r="32" spans="1:12">
      <c r="A32" t="s">
        <v>2702</v>
      </c>
      <c r="C32" t="s">
        <v>2905</v>
      </c>
      <c r="E32" t="s">
        <v>3838</v>
      </c>
    </row>
    <row r="33" spans="1:14">
      <c r="A33" t="s">
        <v>2703</v>
      </c>
      <c r="C33" t="s">
        <v>2906</v>
      </c>
      <c r="E33" t="s">
        <v>3839</v>
      </c>
    </row>
    <row r="34" spans="1:14">
      <c r="A34" t="s">
        <v>2704</v>
      </c>
      <c r="C34" t="s">
        <v>2907</v>
      </c>
      <c r="E34" t="s">
        <v>3840</v>
      </c>
    </row>
    <row r="35" spans="1:14">
      <c r="A35" t="s">
        <v>2705</v>
      </c>
      <c r="C35" t="s">
        <v>2908</v>
      </c>
      <c r="E35" t="s">
        <v>3841</v>
      </c>
    </row>
    <row r="36" spans="1:14" ht="80">
      <c r="A36" t="s">
        <v>2706</v>
      </c>
      <c r="C36" t="s">
        <v>2712</v>
      </c>
      <c r="E36" t="s">
        <v>2718</v>
      </c>
      <c r="G36" t="s">
        <v>2714</v>
      </c>
      <c r="H36" t="s">
        <v>2715</v>
      </c>
      <c r="I36" t="s">
        <v>2716</v>
      </c>
      <c r="J36" t="s">
        <v>2717</v>
      </c>
      <c r="L36" s="18" t="s">
        <v>2713</v>
      </c>
      <c r="N36" t="s">
        <v>2719</v>
      </c>
    </row>
    <row r="37" spans="1:14">
      <c r="A37" t="s">
        <v>2707</v>
      </c>
      <c r="C37" t="s">
        <v>2909</v>
      </c>
      <c r="E37" t="s">
        <v>2707</v>
      </c>
    </row>
    <row r="38" spans="1:14">
      <c r="A38" t="s">
        <v>2708</v>
      </c>
      <c r="C38" t="s">
        <v>2910</v>
      </c>
      <c r="E38" t="s">
        <v>2708</v>
      </c>
    </row>
    <row r="39" spans="1:14">
      <c r="A39" t="s">
        <v>2709</v>
      </c>
      <c r="C39" t="s">
        <v>2911</v>
      </c>
      <c r="E39" t="s">
        <v>2709</v>
      </c>
    </row>
    <row r="40" spans="1:14">
      <c r="A40" t="s">
        <v>2710</v>
      </c>
      <c r="C40" t="s">
        <v>2912</v>
      </c>
      <c r="E40" t="s">
        <v>2710</v>
      </c>
    </row>
    <row r="41" spans="1:14">
      <c r="A41" s="33" t="s">
        <v>3780</v>
      </c>
      <c r="C41" t="s">
        <v>2913</v>
      </c>
      <c r="E41" s="33" t="s">
        <v>3780</v>
      </c>
    </row>
    <row r="42" spans="1:14">
      <c r="A42" t="s">
        <v>2711</v>
      </c>
      <c r="C42" t="s">
        <v>2914</v>
      </c>
      <c r="E42" t="s">
        <v>2711</v>
      </c>
    </row>
    <row r="43" spans="1:14">
      <c r="A43" t="s">
        <v>2985</v>
      </c>
      <c r="C43" t="s">
        <v>3773</v>
      </c>
      <c r="E43" t="s">
        <v>2985</v>
      </c>
    </row>
    <row r="44" spans="1:14">
      <c r="A44" t="s">
        <v>2986</v>
      </c>
      <c r="C44" t="s">
        <v>3774</v>
      </c>
      <c r="E44" t="s">
        <v>2986</v>
      </c>
    </row>
    <row r="45" spans="1:14">
      <c r="A45" t="s">
        <v>2987</v>
      </c>
      <c r="C45" t="s">
        <v>3775</v>
      </c>
      <c r="E45" t="s">
        <v>2987</v>
      </c>
    </row>
    <row r="46" spans="1:14">
      <c r="A46" t="s">
        <v>2988</v>
      </c>
      <c r="C46" t="s">
        <v>3776</v>
      </c>
      <c r="E46" t="s">
        <v>2988</v>
      </c>
    </row>
    <row r="47" spans="1:14">
      <c r="A47" t="s">
        <v>2989</v>
      </c>
      <c r="C47" t="s">
        <v>3777</v>
      </c>
      <c r="E47" t="s">
        <v>2989</v>
      </c>
    </row>
    <row r="48" spans="1:14">
      <c r="A48" t="s">
        <v>2990</v>
      </c>
      <c r="C48" t="s">
        <v>3778</v>
      </c>
      <c r="E48" t="s">
        <v>2990</v>
      </c>
    </row>
    <row r="49" spans="1:12">
      <c r="A49" t="s">
        <v>2991</v>
      </c>
      <c r="C49" t="s">
        <v>3779</v>
      </c>
      <c r="E49" t="s">
        <v>2991</v>
      </c>
    </row>
    <row r="50" spans="1:12" s="2" customFormat="1" ht="128">
      <c r="A50" s="2" t="s">
        <v>2013</v>
      </c>
      <c r="C50" s="2" t="s">
        <v>3015</v>
      </c>
      <c r="E50" s="2" t="s">
        <v>3020</v>
      </c>
      <c r="G50" s="2" t="s">
        <v>3016</v>
      </c>
      <c r="H50" s="2" t="s">
        <v>3017</v>
      </c>
      <c r="I50" s="2" t="s">
        <v>3018</v>
      </c>
      <c r="J50" s="2" t="s">
        <v>3019</v>
      </c>
      <c r="L50" s="6" t="s">
        <v>3014</v>
      </c>
    </row>
    <row r="51" spans="1:12">
      <c r="A51" t="s">
        <v>2014</v>
      </c>
      <c r="C51" t="s">
        <v>2015</v>
      </c>
      <c r="E51" t="s">
        <v>2014</v>
      </c>
    </row>
    <row r="52" spans="1:12" s="2" customFormat="1" ht="128">
      <c r="A52" s="2" t="s">
        <v>2992</v>
      </c>
      <c r="C52" s="2" t="s">
        <v>3021</v>
      </c>
      <c r="E52" s="2" t="s">
        <v>3918</v>
      </c>
      <c r="F52" s="2" t="s">
        <v>3023</v>
      </c>
      <c r="G52" s="2" t="s">
        <v>3024</v>
      </c>
      <c r="H52" s="2" t="s">
        <v>3025</v>
      </c>
      <c r="I52" s="2" t="s">
        <v>3026</v>
      </c>
      <c r="J52" s="2" t="s">
        <v>3027</v>
      </c>
      <c r="L52" s="6" t="s">
        <v>3022</v>
      </c>
    </row>
    <row r="53" spans="1:12" s="2" customFormat="1" ht="112">
      <c r="A53" s="2" t="s">
        <v>2993</v>
      </c>
      <c r="C53" s="2" t="s">
        <v>3081</v>
      </c>
      <c r="E53" s="2" t="s">
        <v>3080</v>
      </c>
      <c r="F53" s="2" t="s">
        <v>3079</v>
      </c>
      <c r="G53" s="2" t="s">
        <v>3074</v>
      </c>
      <c r="H53" s="2" t="s">
        <v>3075</v>
      </c>
      <c r="I53" s="2" t="s">
        <v>3076</v>
      </c>
      <c r="J53" s="2" t="s">
        <v>3077</v>
      </c>
      <c r="L53" s="6" t="s">
        <v>3078</v>
      </c>
    </row>
    <row r="54" spans="1:12" s="2" customFormat="1" ht="18" customHeight="1">
      <c r="A54" s="8" t="s">
        <v>2508</v>
      </c>
      <c r="B54" s="2" t="s">
        <v>2509</v>
      </c>
      <c r="C54" s="2" t="s">
        <v>2509</v>
      </c>
      <c r="E54" s="2" t="s">
        <v>2510</v>
      </c>
      <c r="G54" s="2" t="s">
        <v>3083</v>
      </c>
      <c r="H54" s="2" t="s">
        <v>3084</v>
      </c>
      <c r="I54" s="2" t="s">
        <v>3085</v>
      </c>
      <c r="J54" s="2" t="s">
        <v>3086</v>
      </c>
      <c r="K54" s="2">
        <v>1</v>
      </c>
      <c r="L54" s="6" t="s">
        <v>3082</v>
      </c>
    </row>
    <row r="55" spans="1:12" s="2" customFormat="1" ht="128">
      <c r="A55" s="2" t="s">
        <v>2994</v>
      </c>
      <c r="C55" s="2" t="s">
        <v>3073</v>
      </c>
      <c r="E55" s="2" t="s">
        <v>3071</v>
      </c>
      <c r="F55" s="2" t="s">
        <v>3072</v>
      </c>
      <c r="G55" s="2" t="s">
        <v>3067</v>
      </c>
      <c r="H55" s="2" t="s">
        <v>3068</v>
      </c>
      <c r="I55" s="2" t="s">
        <v>3069</v>
      </c>
      <c r="J55" s="2" t="s">
        <v>3070</v>
      </c>
      <c r="L55" s="6" t="s">
        <v>3066</v>
      </c>
    </row>
    <row r="56" spans="1:12" s="2" customFormat="1" ht="128">
      <c r="A56" s="2" t="s">
        <v>2995</v>
      </c>
      <c r="C56" s="2" t="s">
        <v>3060</v>
      </c>
      <c r="E56" s="2" t="s">
        <v>3059</v>
      </c>
      <c r="G56" s="2" t="s">
        <v>3062</v>
      </c>
      <c r="H56" s="2" t="s">
        <v>3063</v>
      </c>
      <c r="I56" s="2" t="s">
        <v>3064</v>
      </c>
      <c r="J56" s="2" t="s">
        <v>3065</v>
      </c>
      <c r="L56" s="6" t="s">
        <v>3061</v>
      </c>
    </row>
    <row r="57" spans="1:12">
      <c r="A57" t="s">
        <v>2996</v>
      </c>
      <c r="C57" t="s">
        <v>3769</v>
      </c>
      <c r="E57" t="s">
        <v>2996</v>
      </c>
    </row>
    <row r="58" spans="1:12">
      <c r="A58" t="s">
        <v>2997</v>
      </c>
      <c r="C58" t="s">
        <v>3770</v>
      </c>
      <c r="E58" t="s">
        <v>2997</v>
      </c>
    </row>
    <row r="59" spans="1:12">
      <c r="A59" t="s">
        <v>2998</v>
      </c>
      <c r="C59" t="s">
        <v>3771</v>
      </c>
      <c r="E59" t="s">
        <v>2998</v>
      </c>
    </row>
    <row r="60" spans="1:12" s="2" customFormat="1" ht="112">
      <c r="A60" s="2" t="s">
        <v>2999</v>
      </c>
      <c r="C60" s="2" t="s">
        <v>2999</v>
      </c>
      <c r="E60" s="2" t="s">
        <v>3033</v>
      </c>
      <c r="F60" s="2" t="s">
        <v>3032</v>
      </c>
      <c r="G60" s="2" t="s">
        <v>3028</v>
      </c>
      <c r="H60" s="2" t="s">
        <v>3030</v>
      </c>
      <c r="I60" s="2" t="s">
        <v>3029</v>
      </c>
      <c r="J60" s="2" t="s">
        <v>3031</v>
      </c>
      <c r="L60" s="6" t="s">
        <v>3034</v>
      </c>
    </row>
    <row r="61" spans="1:12" s="2" customFormat="1" ht="32">
      <c r="A61" s="34" t="s">
        <v>3000</v>
      </c>
      <c r="C61" s="2" t="s">
        <v>3039</v>
      </c>
      <c r="E61" s="2" t="s">
        <v>3040</v>
      </c>
      <c r="F61" s="6" t="s">
        <v>3041</v>
      </c>
      <c r="G61" s="2" t="s">
        <v>3035</v>
      </c>
      <c r="H61" s="2" t="s">
        <v>3036</v>
      </c>
      <c r="I61" s="2" t="s">
        <v>3037</v>
      </c>
      <c r="J61" s="2" t="s">
        <v>3038</v>
      </c>
    </row>
    <row r="62" spans="1:12">
      <c r="A62" t="s">
        <v>3001</v>
      </c>
      <c r="C62" t="s">
        <v>3001</v>
      </c>
      <c r="E62" t="s">
        <v>3001</v>
      </c>
    </row>
    <row r="63" spans="1:12" s="2" customFormat="1" ht="128">
      <c r="A63" s="32" t="s">
        <v>3781</v>
      </c>
      <c r="C63" s="2" t="s">
        <v>3049</v>
      </c>
      <c r="E63" s="2" t="s">
        <v>3047</v>
      </c>
      <c r="F63" s="2" t="s">
        <v>3048</v>
      </c>
      <c r="G63" s="2" t="s">
        <v>3042</v>
      </c>
      <c r="H63" s="2" t="s">
        <v>3043</v>
      </c>
      <c r="I63" s="2" t="s">
        <v>3044</v>
      </c>
      <c r="J63" s="2" t="s">
        <v>3045</v>
      </c>
      <c r="L63" s="6" t="s">
        <v>3046</v>
      </c>
    </row>
    <row r="64" spans="1:12" s="2" customFormat="1" ht="144">
      <c r="A64" s="2" t="s">
        <v>3056</v>
      </c>
      <c r="C64" s="2" t="s">
        <v>3055</v>
      </c>
      <c r="E64" s="2" t="s">
        <v>3058</v>
      </c>
      <c r="F64" s="2" t="s">
        <v>3057</v>
      </c>
      <c r="G64" s="2" t="s">
        <v>3051</v>
      </c>
      <c r="H64" s="2" t="s">
        <v>3052</v>
      </c>
      <c r="I64" s="2" t="s">
        <v>3053</v>
      </c>
      <c r="J64" s="2" t="s">
        <v>3054</v>
      </c>
      <c r="L64" s="6" t="s">
        <v>3050</v>
      </c>
    </row>
    <row r="65" spans="1:12" s="2" customFormat="1" ht="112">
      <c r="A65" s="2" t="s">
        <v>3002</v>
      </c>
      <c r="C65" s="2" t="s">
        <v>3842</v>
      </c>
      <c r="E65" s="2" t="s">
        <v>3843</v>
      </c>
      <c r="F65" s="2" t="s">
        <v>3849</v>
      </c>
      <c r="G65" s="2" t="s">
        <v>3845</v>
      </c>
      <c r="H65" s="2" t="s">
        <v>3846</v>
      </c>
      <c r="I65" s="2" t="s">
        <v>3847</v>
      </c>
      <c r="J65" s="2" t="s">
        <v>3848</v>
      </c>
      <c r="L65" s="6" t="s">
        <v>3844</v>
      </c>
    </row>
    <row r="66" spans="1:12" s="2" customFormat="1" ht="192">
      <c r="A66" s="2" t="s">
        <v>3003</v>
      </c>
      <c r="C66" s="2" t="s">
        <v>3731</v>
      </c>
      <c r="E66" s="2" t="s">
        <v>3736</v>
      </c>
      <c r="F66" s="6" t="s">
        <v>3751</v>
      </c>
      <c r="G66" s="2" t="s">
        <v>3732</v>
      </c>
      <c r="H66" s="2" t="s">
        <v>3733</v>
      </c>
      <c r="I66" s="2" t="s">
        <v>3734</v>
      </c>
      <c r="J66" s="2" t="s">
        <v>3735</v>
      </c>
      <c r="L66" s="6" t="s">
        <v>3730</v>
      </c>
    </row>
    <row r="67" spans="1:12">
      <c r="A67" t="s">
        <v>3004</v>
      </c>
      <c r="C67" s="36" t="s">
        <v>3772</v>
      </c>
      <c r="L67" s="18"/>
    </row>
    <row r="68" spans="1:12">
      <c r="A68" t="s">
        <v>2442</v>
      </c>
      <c r="C68" t="s">
        <v>3156</v>
      </c>
      <c r="L68" s="18"/>
    </row>
    <row r="69" spans="1:12" ht="176">
      <c r="A69" t="s">
        <v>3157</v>
      </c>
      <c r="C69" s="36" t="s">
        <v>3863</v>
      </c>
      <c r="E69" t="s">
        <v>3163</v>
      </c>
      <c r="F69" t="s">
        <v>3164</v>
      </c>
      <c r="G69" t="s">
        <v>3158</v>
      </c>
      <c r="H69" t="s">
        <v>3159</v>
      </c>
      <c r="I69" t="s">
        <v>3160</v>
      </c>
      <c r="J69" t="s">
        <v>3161</v>
      </c>
      <c r="L69" s="18" t="s">
        <v>3162</v>
      </c>
    </row>
    <row r="70" spans="1:12">
      <c r="A70" t="s">
        <v>3005</v>
      </c>
      <c r="C70" t="s">
        <v>3404</v>
      </c>
    </row>
    <row r="71" spans="1:12">
      <c r="A71" t="s">
        <v>3006</v>
      </c>
      <c r="C71" t="s">
        <v>2358</v>
      </c>
    </row>
    <row r="72" spans="1:12">
      <c r="A72" t="s">
        <v>3007</v>
      </c>
      <c r="C72" t="s">
        <v>3405</v>
      </c>
    </row>
    <row r="73" spans="1:12">
      <c r="A73" t="s">
        <v>3008</v>
      </c>
      <c r="C73" t="s">
        <v>3406</v>
      </c>
    </row>
    <row r="74" spans="1:12">
      <c r="A74" t="s">
        <v>3009</v>
      </c>
      <c r="C74" t="s">
        <v>3407</v>
      </c>
    </row>
    <row r="75" spans="1:12">
      <c r="A75" t="s">
        <v>3010</v>
      </c>
      <c r="C75" t="s">
        <v>3408</v>
      </c>
    </row>
    <row r="76" spans="1:12">
      <c r="A76" t="s">
        <v>3011</v>
      </c>
      <c r="C76" t="s">
        <v>3409</v>
      </c>
    </row>
    <row r="77" spans="1:12">
      <c r="A77" t="s">
        <v>3012</v>
      </c>
      <c r="C77" t="s">
        <v>3410</v>
      </c>
    </row>
    <row r="78" spans="1:12" s="2" customFormat="1" ht="80">
      <c r="A78" s="32" t="s">
        <v>3782</v>
      </c>
      <c r="C78" s="2" t="s">
        <v>3411</v>
      </c>
      <c r="E78" s="2" t="s">
        <v>3788</v>
      </c>
      <c r="F78" s="2" t="s">
        <v>3787</v>
      </c>
      <c r="G78" s="2" t="s">
        <v>3783</v>
      </c>
      <c r="H78" s="2" t="s">
        <v>3784</v>
      </c>
      <c r="I78" s="2" t="s">
        <v>3785</v>
      </c>
      <c r="J78" s="2" t="s">
        <v>3786</v>
      </c>
      <c r="L78" s="6" t="s">
        <v>3789</v>
      </c>
    </row>
    <row r="79" spans="1:12" s="2" customFormat="1" ht="145">
      <c r="A79" s="2" t="s">
        <v>3806</v>
      </c>
      <c r="C79" s="2" t="s">
        <v>3013</v>
      </c>
      <c r="E79" s="2" t="s">
        <v>3812</v>
      </c>
      <c r="F79" s="2" t="s">
        <v>3805</v>
      </c>
      <c r="G79" s="2" t="s">
        <v>3807</v>
      </c>
      <c r="H79" s="2" t="s">
        <v>3808</v>
      </c>
      <c r="I79" s="2" t="s">
        <v>3809</v>
      </c>
      <c r="J79" s="2" t="s">
        <v>3810</v>
      </c>
      <c r="L79" s="6" t="s">
        <v>3811</v>
      </c>
    </row>
    <row r="80" spans="1:12" s="2" customFormat="1" ht="128">
      <c r="A80" s="32" t="s">
        <v>3923</v>
      </c>
      <c r="C80" s="2" t="s">
        <v>3397</v>
      </c>
      <c r="E80" s="2" t="s">
        <v>3803</v>
      </c>
      <c r="F80" s="2" t="s">
        <v>3804</v>
      </c>
      <c r="G80" s="2" t="s">
        <v>3799</v>
      </c>
      <c r="H80" s="2" t="s">
        <v>3800</v>
      </c>
      <c r="I80" s="2" t="s">
        <v>3801</v>
      </c>
      <c r="J80" s="2" t="s">
        <v>3802</v>
      </c>
      <c r="L80" s="6" t="s">
        <v>3798</v>
      </c>
    </row>
    <row r="81" spans="1:12">
      <c r="A81" t="s">
        <v>3396</v>
      </c>
      <c r="C81" t="s">
        <v>3412</v>
      </c>
    </row>
    <row r="82" spans="1:12" s="2" customFormat="1" ht="96">
      <c r="A82" s="32" t="s">
        <v>3790</v>
      </c>
      <c r="C82" s="2" t="s">
        <v>2443</v>
      </c>
      <c r="E82" s="2" t="s">
        <v>3796</v>
      </c>
      <c r="F82" s="6" t="s">
        <v>3797</v>
      </c>
      <c r="G82" s="2" t="s">
        <v>3792</v>
      </c>
      <c r="H82" s="2" t="s">
        <v>3793</v>
      </c>
      <c r="I82" s="2" t="s">
        <v>3794</v>
      </c>
      <c r="J82" s="2" t="s">
        <v>3795</v>
      </c>
      <c r="L82" s="6" t="s">
        <v>3791</v>
      </c>
    </row>
    <row r="83" spans="1:12">
      <c r="A83" t="s">
        <v>3398</v>
      </c>
      <c r="C83" t="s">
        <v>3413</v>
      </c>
    </row>
    <row r="84" spans="1:12" s="2" customFormat="1" ht="112">
      <c r="A84" s="2" t="s">
        <v>3400</v>
      </c>
      <c r="C84" s="2" t="s">
        <v>3399</v>
      </c>
      <c r="E84" s="2" t="s">
        <v>3716</v>
      </c>
      <c r="F84" s="2" t="s">
        <v>3717</v>
      </c>
      <c r="G84" s="2" t="s">
        <v>3718</v>
      </c>
      <c r="H84" s="2" t="s">
        <v>3719</v>
      </c>
      <c r="I84" s="2" t="s">
        <v>3720</v>
      </c>
      <c r="J84" s="2" t="s">
        <v>3721</v>
      </c>
      <c r="L84" s="6" t="s">
        <v>3722</v>
      </c>
    </row>
    <row r="85" spans="1:12">
      <c r="A85" t="s">
        <v>3401</v>
      </c>
      <c r="C85" t="s">
        <v>3414</v>
      </c>
    </row>
    <row r="86" spans="1:12">
      <c r="A86" t="s">
        <v>3403</v>
      </c>
      <c r="C86" t="s">
        <v>3402</v>
      </c>
    </row>
    <row r="87" spans="1:12">
      <c r="A87" t="s">
        <v>3368</v>
      </c>
      <c r="C87" t="s">
        <v>3415</v>
      </c>
    </row>
    <row r="88" spans="1:12">
      <c r="A88" t="s">
        <v>3369</v>
      </c>
      <c r="C88" t="s">
        <v>3416</v>
      </c>
    </row>
    <row r="89" spans="1:12">
      <c r="A89" t="s">
        <v>3370</v>
      </c>
      <c r="C89" t="s">
        <v>3417</v>
      </c>
    </row>
    <row r="90" spans="1:12">
      <c r="A90" t="s">
        <v>3371</v>
      </c>
      <c r="C90" t="s">
        <v>3418</v>
      </c>
    </row>
    <row r="91" spans="1:12">
      <c r="A91" t="s">
        <v>2040</v>
      </c>
      <c r="C91" t="s">
        <v>3419</v>
      </c>
    </row>
    <row r="92" spans="1:12">
      <c r="A92" t="s">
        <v>3372</v>
      </c>
      <c r="C92" t="s">
        <v>3420</v>
      </c>
    </row>
    <row r="93" spans="1:12">
      <c r="A93" t="s">
        <v>3373</v>
      </c>
      <c r="C93" t="s">
        <v>3421</v>
      </c>
    </row>
    <row r="94" spans="1:12">
      <c r="A94" t="s">
        <v>3374</v>
      </c>
      <c r="C94" t="s">
        <v>3422</v>
      </c>
    </row>
    <row r="95" spans="1:12">
      <c r="A95" t="s">
        <v>3375</v>
      </c>
      <c r="C95" t="s">
        <v>3423</v>
      </c>
    </row>
    <row r="96" spans="1:12" s="2" customFormat="1" ht="112">
      <c r="A96" s="32" t="s">
        <v>3750</v>
      </c>
      <c r="C96" s="2" t="s">
        <v>3424</v>
      </c>
      <c r="E96" s="2" t="s">
        <v>3748</v>
      </c>
      <c r="G96" s="2" t="s">
        <v>3744</v>
      </c>
      <c r="H96" s="2" t="s">
        <v>3745</v>
      </c>
      <c r="I96" s="2" t="s">
        <v>3746</v>
      </c>
      <c r="J96" s="2" t="s">
        <v>3747</v>
      </c>
      <c r="L96" s="6" t="s">
        <v>3749</v>
      </c>
    </row>
    <row r="97" spans="1:12">
      <c r="A97" t="s">
        <v>1245</v>
      </c>
      <c r="C97" t="s">
        <v>3425</v>
      </c>
      <c r="E97" t="s">
        <v>1245</v>
      </c>
    </row>
    <row r="98" spans="1:12">
      <c r="A98" t="s">
        <v>3376</v>
      </c>
      <c r="C98" t="s">
        <v>3426</v>
      </c>
      <c r="E98" t="s">
        <v>3376</v>
      </c>
    </row>
    <row r="99" spans="1:12">
      <c r="A99" t="s">
        <v>3377</v>
      </c>
      <c r="C99" t="s">
        <v>3468</v>
      </c>
      <c r="E99" t="s">
        <v>3377</v>
      </c>
    </row>
    <row r="100" spans="1:12">
      <c r="A100" t="s">
        <v>3378</v>
      </c>
      <c r="C100" t="s">
        <v>3468</v>
      </c>
      <c r="E100" t="s">
        <v>3378</v>
      </c>
    </row>
    <row r="101" spans="1:12">
      <c r="A101" t="s">
        <v>3379</v>
      </c>
      <c r="C101" t="s">
        <v>3427</v>
      </c>
      <c r="E101" t="s">
        <v>3379</v>
      </c>
    </row>
    <row r="102" spans="1:12" s="2" customFormat="1" ht="112">
      <c r="A102" s="2" t="s">
        <v>3381</v>
      </c>
      <c r="C102" s="2" t="s">
        <v>3380</v>
      </c>
      <c r="E102" s="2" t="s">
        <v>3729</v>
      </c>
      <c r="F102" s="6" t="s">
        <v>3728</v>
      </c>
      <c r="G102" s="2" t="s">
        <v>3724</v>
      </c>
      <c r="H102" s="2" t="s">
        <v>3725</v>
      </c>
      <c r="I102" s="2" t="s">
        <v>3726</v>
      </c>
      <c r="J102" s="2" t="s">
        <v>3727</v>
      </c>
      <c r="L102" s="6" t="s">
        <v>3723</v>
      </c>
    </row>
    <row r="103" spans="1:12">
      <c r="A103" t="s">
        <v>3382</v>
      </c>
      <c r="C103" t="s">
        <v>3428</v>
      </c>
      <c r="E103" t="s">
        <v>3382</v>
      </c>
    </row>
    <row r="104" spans="1:12">
      <c r="A104" t="s">
        <v>3383</v>
      </c>
      <c r="C104" t="s">
        <v>2449</v>
      </c>
      <c r="E104" t="s">
        <v>3383</v>
      </c>
    </row>
    <row r="105" spans="1:12">
      <c r="A105" t="s">
        <v>3384</v>
      </c>
      <c r="C105" t="s">
        <v>3429</v>
      </c>
      <c r="E105" t="s">
        <v>3384</v>
      </c>
    </row>
    <row r="106" spans="1:12">
      <c r="A106" t="s">
        <v>3385</v>
      </c>
      <c r="C106" t="s">
        <v>3430</v>
      </c>
      <c r="E106" t="s">
        <v>3385</v>
      </c>
    </row>
    <row r="107" spans="1:12">
      <c r="A107" t="s">
        <v>3386</v>
      </c>
      <c r="C107" t="s">
        <v>3431</v>
      </c>
      <c r="E107" t="s">
        <v>3386</v>
      </c>
    </row>
    <row r="108" spans="1:12">
      <c r="A108" t="s">
        <v>3387</v>
      </c>
      <c r="C108" t="s">
        <v>3432</v>
      </c>
      <c r="E108" t="s">
        <v>3387</v>
      </c>
    </row>
    <row r="109" spans="1:12" ht="64">
      <c r="A109" t="s">
        <v>3388</v>
      </c>
      <c r="C109" t="s">
        <v>3433</v>
      </c>
      <c r="E109" t="s">
        <v>3924</v>
      </c>
      <c r="F109" s="18" t="s">
        <v>3854</v>
      </c>
      <c r="G109" t="s">
        <v>3850</v>
      </c>
      <c r="H109" t="s">
        <v>3851</v>
      </c>
      <c r="I109" s="33" t="s">
        <v>3852</v>
      </c>
      <c r="J109" s="33" t="s">
        <v>3853</v>
      </c>
    </row>
    <row r="110" spans="1:12">
      <c r="A110" t="s">
        <v>3389</v>
      </c>
      <c r="C110" t="s">
        <v>3434</v>
      </c>
    </row>
    <row r="111" spans="1:12">
      <c r="A111" t="s">
        <v>3390</v>
      </c>
      <c r="C111" t="s">
        <v>3435</v>
      </c>
    </row>
    <row r="112" spans="1:12" s="2" customFormat="1" ht="80">
      <c r="A112" s="2" t="s">
        <v>3391</v>
      </c>
      <c r="C112" s="2" t="s">
        <v>3436</v>
      </c>
      <c r="E112" s="2" t="s">
        <v>3713</v>
      </c>
      <c r="F112" s="2" t="s">
        <v>3715</v>
      </c>
      <c r="G112" s="2" t="s">
        <v>3710</v>
      </c>
      <c r="H112" s="2" t="s">
        <v>3711</v>
      </c>
      <c r="I112" s="2" t="s">
        <v>3712</v>
      </c>
      <c r="L112" s="6" t="s">
        <v>3714</v>
      </c>
    </row>
    <row r="113" spans="1:5">
      <c r="A113" t="s">
        <v>3392</v>
      </c>
      <c r="C113" t="s">
        <v>3437</v>
      </c>
      <c r="E113" t="s">
        <v>3392</v>
      </c>
    </row>
    <row r="114" spans="1:5">
      <c r="A114" t="s">
        <v>3393</v>
      </c>
      <c r="C114" t="s">
        <v>3438</v>
      </c>
      <c r="E114" t="s">
        <v>3393</v>
      </c>
    </row>
    <row r="115" spans="1:5">
      <c r="A115" t="s">
        <v>3394</v>
      </c>
      <c r="C115" t="s">
        <v>3439</v>
      </c>
      <c r="E115" t="s">
        <v>3394</v>
      </c>
    </row>
    <row r="116" spans="1:5">
      <c r="A116" t="s">
        <v>3395</v>
      </c>
      <c r="C116" t="s">
        <v>3440</v>
      </c>
      <c r="E116" t="s">
        <v>3395</v>
      </c>
    </row>
    <row r="117" spans="1:5">
      <c r="A117" t="s">
        <v>3361</v>
      </c>
      <c r="C117" t="s">
        <v>3441</v>
      </c>
      <c r="E117" t="s">
        <v>3361</v>
      </c>
    </row>
    <row r="118" spans="1:5">
      <c r="A118" t="s">
        <v>3362</v>
      </c>
      <c r="C118" t="s">
        <v>3442</v>
      </c>
      <c r="E118" t="s">
        <v>3362</v>
      </c>
    </row>
    <row r="119" spans="1:5">
      <c r="A119" t="s">
        <v>3363</v>
      </c>
      <c r="C119" t="s">
        <v>3443</v>
      </c>
      <c r="E119" t="s">
        <v>3363</v>
      </c>
    </row>
    <row r="120" spans="1:5">
      <c r="A120" t="s">
        <v>3364</v>
      </c>
      <c r="C120" t="s">
        <v>1279</v>
      </c>
      <c r="E120" t="s">
        <v>3364</v>
      </c>
    </row>
    <row r="121" spans="1:5">
      <c r="A121" t="s">
        <v>3366</v>
      </c>
      <c r="C121" t="s">
        <v>3365</v>
      </c>
      <c r="E121" t="s">
        <v>3366</v>
      </c>
    </row>
    <row r="122" spans="1:5">
      <c r="A122" t="s">
        <v>3367</v>
      </c>
      <c r="C122" t="s">
        <v>3444</v>
      </c>
      <c r="E122" t="s">
        <v>3367</v>
      </c>
    </row>
    <row r="123" spans="1:5">
      <c r="A123" t="s">
        <v>3354</v>
      </c>
      <c r="C123" t="s">
        <v>3445</v>
      </c>
      <c r="E123" t="s">
        <v>3354</v>
      </c>
    </row>
    <row r="124" spans="1:5">
      <c r="A124" t="s">
        <v>3355</v>
      </c>
      <c r="C124" t="s">
        <v>3446</v>
      </c>
      <c r="E124" t="s">
        <v>3355</v>
      </c>
    </row>
    <row r="125" spans="1:5">
      <c r="A125" t="s">
        <v>3357</v>
      </c>
      <c r="C125" t="s">
        <v>3356</v>
      </c>
      <c r="E125" t="s">
        <v>3357</v>
      </c>
    </row>
    <row r="126" spans="1:5">
      <c r="A126" t="s">
        <v>3358</v>
      </c>
      <c r="C126" t="s">
        <v>3447</v>
      </c>
      <c r="E126" t="s">
        <v>3358</v>
      </c>
    </row>
    <row r="127" spans="1:5">
      <c r="A127" t="s">
        <v>3360</v>
      </c>
      <c r="C127" t="s">
        <v>3359</v>
      </c>
      <c r="E127" t="s">
        <v>3360</v>
      </c>
    </row>
    <row r="128" spans="1:5">
      <c r="A128" t="s">
        <v>3353</v>
      </c>
      <c r="C128" t="s">
        <v>3352</v>
      </c>
      <c r="E128" t="s">
        <v>3353</v>
      </c>
    </row>
    <row r="129" spans="1:5">
      <c r="A129" t="s">
        <v>2552</v>
      </c>
      <c r="C129" t="s">
        <v>3448</v>
      </c>
      <c r="E129" t="s">
        <v>2552</v>
      </c>
    </row>
    <row r="130" spans="1:5">
      <c r="A130" t="s">
        <v>2553</v>
      </c>
      <c r="C130" t="s">
        <v>3449</v>
      </c>
      <c r="E130" t="s">
        <v>2553</v>
      </c>
    </row>
    <row r="131" spans="1:5">
      <c r="A131" t="s">
        <v>2554</v>
      </c>
      <c r="C131" t="s">
        <v>3450</v>
      </c>
      <c r="E131" t="s">
        <v>2554</v>
      </c>
    </row>
    <row r="132" spans="1:5">
      <c r="A132" t="s">
        <v>2555</v>
      </c>
      <c r="C132" t="s">
        <v>3451</v>
      </c>
      <c r="E132" t="s">
        <v>2555</v>
      </c>
    </row>
    <row r="133" spans="1:5">
      <c r="A133" t="s">
        <v>2556</v>
      </c>
      <c r="C133" t="s">
        <v>3452</v>
      </c>
      <c r="E133" t="s">
        <v>2556</v>
      </c>
    </row>
    <row r="134" spans="1:5">
      <c r="A134" t="s">
        <v>2557</v>
      </c>
      <c r="C134" t="s">
        <v>3453</v>
      </c>
      <c r="E134" t="s">
        <v>2557</v>
      </c>
    </row>
    <row r="135" spans="1:5">
      <c r="A135" t="s">
        <v>2558</v>
      </c>
      <c r="C135" t="s">
        <v>3454</v>
      </c>
      <c r="E135" t="s">
        <v>2558</v>
      </c>
    </row>
    <row r="136" spans="1:5">
      <c r="A136" t="s">
        <v>2559</v>
      </c>
      <c r="C136" t="s">
        <v>3455</v>
      </c>
      <c r="E136" t="s">
        <v>2559</v>
      </c>
    </row>
    <row r="137" spans="1:5">
      <c r="A137" t="s">
        <v>2560</v>
      </c>
      <c r="C137" t="s">
        <v>3456</v>
      </c>
      <c r="E137" t="s">
        <v>2560</v>
      </c>
    </row>
    <row r="138" spans="1:5">
      <c r="A138" t="s">
        <v>2561</v>
      </c>
      <c r="C138" t="s">
        <v>3457</v>
      </c>
      <c r="E138" t="s">
        <v>2561</v>
      </c>
    </row>
    <row r="139" spans="1:5">
      <c r="A139" t="s">
        <v>2562</v>
      </c>
      <c r="C139" t="s">
        <v>3458</v>
      </c>
      <c r="E139" t="s">
        <v>2562</v>
      </c>
    </row>
    <row r="140" spans="1:5">
      <c r="A140" t="s">
        <v>2563</v>
      </c>
      <c r="C140" t="s">
        <v>3459</v>
      </c>
      <c r="E140" t="s">
        <v>2563</v>
      </c>
    </row>
    <row r="141" spans="1:5">
      <c r="A141" t="s">
        <v>2564</v>
      </c>
      <c r="C141" t="s">
        <v>3460</v>
      </c>
      <c r="E141" t="s">
        <v>2564</v>
      </c>
    </row>
    <row r="142" spans="1:5">
      <c r="A142" t="s">
        <v>2565</v>
      </c>
      <c r="C142" t="s">
        <v>3461</v>
      </c>
      <c r="E142" t="s">
        <v>2565</v>
      </c>
    </row>
    <row r="143" spans="1:5">
      <c r="A143" t="s">
        <v>2566</v>
      </c>
      <c r="C143" t="s">
        <v>3462</v>
      </c>
      <c r="E143" t="s">
        <v>2566</v>
      </c>
    </row>
    <row r="144" spans="1:5">
      <c r="A144" t="s">
        <v>2567</v>
      </c>
      <c r="C144" t="s">
        <v>3463</v>
      </c>
      <c r="E144" t="s">
        <v>2567</v>
      </c>
    </row>
    <row r="145" spans="1:12">
      <c r="A145" t="s">
        <v>2568</v>
      </c>
      <c r="C145" t="s">
        <v>3464</v>
      </c>
      <c r="E145" t="s">
        <v>2568</v>
      </c>
    </row>
    <row r="146" spans="1:12">
      <c r="A146" t="s">
        <v>2467</v>
      </c>
      <c r="C146" t="s">
        <v>3465</v>
      </c>
      <c r="E146" t="s">
        <v>2467</v>
      </c>
    </row>
    <row r="147" spans="1:12">
      <c r="A147" t="s">
        <v>2569</v>
      </c>
      <c r="C147" t="s">
        <v>3466</v>
      </c>
      <c r="E147" t="s">
        <v>2569</v>
      </c>
    </row>
    <row r="148" spans="1:12">
      <c r="A148" t="s">
        <v>2570</v>
      </c>
      <c r="C148" t="s">
        <v>3467</v>
      </c>
      <c r="E148" t="s">
        <v>2570</v>
      </c>
    </row>
    <row r="149" spans="1:12" ht="144">
      <c r="A149" t="s">
        <v>3116</v>
      </c>
      <c r="C149" t="s">
        <v>3118</v>
      </c>
      <c r="E149" t="s">
        <v>3117</v>
      </c>
      <c r="F149" t="s">
        <v>3129</v>
      </c>
      <c r="G149" t="s">
        <v>3120</v>
      </c>
      <c r="H149" t="s">
        <v>3121</v>
      </c>
      <c r="I149" t="s">
        <v>3122</v>
      </c>
      <c r="J149" t="s">
        <v>3123</v>
      </c>
      <c r="L149" s="18" t="s">
        <v>3119</v>
      </c>
    </row>
    <row r="150" spans="1:12" ht="128">
      <c r="A150" t="s">
        <v>3124</v>
      </c>
      <c r="C150" t="s">
        <v>3133</v>
      </c>
      <c r="E150" t="s">
        <v>3132</v>
      </c>
      <c r="F150" t="s">
        <v>3128</v>
      </c>
      <c r="G150" t="s">
        <v>3125</v>
      </c>
      <c r="H150" t="s">
        <v>3126</v>
      </c>
      <c r="I150" t="s">
        <v>3127</v>
      </c>
      <c r="J150" t="s">
        <v>3131</v>
      </c>
      <c r="L150" s="18" t="s">
        <v>3130</v>
      </c>
    </row>
    <row r="151" spans="1:12">
      <c r="A151" t="s">
        <v>2571</v>
      </c>
      <c r="C151" t="s">
        <v>3752</v>
      </c>
      <c r="E151" t="s">
        <v>2571</v>
      </c>
    </row>
    <row r="152" spans="1:12">
      <c r="A152" t="s">
        <v>2381</v>
      </c>
      <c r="C152" t="s">
        <v>2383</v>
      </c>
      <c r="E152" t="s">
        <v>2381</v>
      </c>
    </row>
    <row r="153" spans="1:12">
      <c r="A153" t="s">
        <v>2572</v>
      </c>
      <c r="C153" t="s">
        <v>3753</v>
      </c>
      <c r="E153" t="s">
        <v>2572</v>
      </c>
    </row>
    <row r="154" spans="1:12">
      <c r="A154" t="s">
        <v>2573</v>
      </c>
      <c r="C154" t="s">
        <v>3754</v>
      </c>
      <c r="E154" t="s">
        <v>2573</v>
      </c>
    </row>
    <row r="155" spans="1:12">
      <c r="A155" t="s">
        <v>3101</v>
      </c>
      <c r="C155" t="s">
        <v>3755</v>
      </c>
      <c r="E155" t="s">
        <v>3101</v>
      </c>
    </row>
    <row r="156" spans="1:12">
      <c r="A156" t="s">
        <v>3102</v>
      </c>
      <c r="C156" t="s">
        <v>3756</v>
      </c>
      <c r="E156" t="s">
        <v>3102</v>
      </c>
    </row>
    <row r="157" spans="1:12">
      <c r="A157" t="s">
        <v>3103</v>
      </c>
      <c r="C157" t="s">
        <v>303</v>
      </c>
      <c r="E157" t="s">
        <v>3103</v>
      </c>
    </row>
    <row r="158" spans="1:12">
      <c r="A158" t="s">
        <v>3104</v>
      </c>
      <c r="C158" t="s">
        <v>3757</v>
      </c>
      <c r="E158" t="s">
        <v>3104</v>
      </c>
    </row>
    <row r="159" spans="1:12">
      <c r="A159" t="s">
        <v>3105</v>
      </c>
      <c r="C159" t="s">
        <v>3758</v>
      </c>
      <c r="E159" t="s">
        <v>3105</v>
      </c>
    </row>
    <row r="160" spans="1:12">
      <c r="A160" t="s">
        <v>3106</v>
      </c>
      <c r="C160" t="s">
        <v>3759</v>
      </c>
      <c r="E160" t="s">
        <v>3106</v>
      </c>
    </row>
    <row r="161" spans="1:14">
      <c r="A161" t="s">
        <v>3107</v>
      </c>
      <c r="C161" t="s">
        <v>3760</v>
      </c>
      <c r="E161" t="s">
        <v>3107</v>
      </c>
    </row>
    <row r="162" spans="1:14">
      <c r="A162" t="s">
        <v>3108</v>
      </c>
      <c r="C162" t="s">
        <v>3761</v>
      </c>
      <c r="E162" t="s">
        <v>3108</v>
      </c>
    </row>
    <row r="163" spans="1:14">
      <c r="A163" t="s">
        <v>1362</v>
      </c>
      <c r="C163" t="s">
        <v>1363</v>
      </c>
      <c r="E163" t="s">
        <v>1362</v>
      </c>
    </row>
    <row r="164" spans="1:14">
      <c r="A164" t="s">
        <v>3109</v>
      </c>
      <c r="C164" t="s">
        <v>3762</v>
      </c>
      <c r="E164" t="s">
        <v>3109</v>
      </c>
    </row>
    <row r="165" spans="1:14">
      <c r="A165" t="s">
        <v>3087</v>
      </c>
      <c r="C165" t="s">
        <v>3763</v>
      </c>
      <c r="E165" t="s">
        <v>3087</v>
      </c>
    </row>
    <row r="166" spans="1:14">
      <c r="A166" t="s">
        <v>354</v>
      </c>
      <c r="C166" t="s">
        <v>3764</v>
      </c>
      <c r="E166" t="s">
        <v>354</v>
      </c>
    </row>
    <row r="167" spans="1:14">
      <c r="A167" t="s">
        <v>3088</v>
      </c>
      <c r="C167" t="s">
        <v>3765</v>
      </c>
      <c r="E167" t="s">
        <v>3088</v>
      </c>
    </row>
    <row r="168" spans="1:14">
      <c r="A168" t="s">
        <v>3089</v>
      </c>
      <c r="C168" t="s">
        <v>3766</v>
      </c>
      <c r="E168" t="s">
        <v>3089</v>
      </c>
    </row>
    <row r="169" spans="1:14">
      <c r="A169" t="s">
        <v>3090</v>
      </c>
      <c r="C169" t="s">
        <v>3767</v>
      </c>
      <c r="E169" t="s">
        <v>3090</v>
      </c>
    </row>
    <row r="170" spans="1:14">
      <c r="A170" t="s">
        <v>3091</v>
      </c>
      <c r="C170" t="s">
        <v>3768</v>
      </c>
      <c r="E170" t="s">
        <v>3091</v>
      </c>
    </row>
    <row r="171" spans="1:14" s="2" customFormat="1" ht="128">
      <c r="A171" s="2" t="s">
        <v>3092</v>
      </c>
      <c r="C171" s="2" t="s">
        <v>3092</v>
      </c>
      <c r="E171" s="2" t="s">
        <v>3110</v>
      </c>
      <c r="F171" s="2" t="s">
        <v>3115</v>
      </c>
      <c r="G171" s="2" t="s">
        <v>3111</v>
      </c>
      <c r="H171" s="2" t="s">
        <v>3112</v>
      </c>
      <c r="I171" s="2" t="s">
        <v>3113</v>
      </c>
      <c r="L171" s="6" t="s">
        <v>3114</v>
      </c>
    </row>
    <row r="172" spans="1:14">
      <c r="A172" s="33" t="s">
        <v>3855</v>
      </c>
      <c r="C172" t="s">
        <v>3856</v>
      </c>
      <c r="D172" t="s">
        <v>3857</v>
      </c>
      <c r="E172" t="s">
        <v>3093</v>
      </c>
    </row>
    <row r="173" spans="1:14" ht="144">
      <c r="A173" t="s">
        <v>3094</v>
      </c>
      <c r="C173" t="s">
        <v>3155</v>
      </c>
      <c r="E173" t="s">
        <v>3149</v>
      </c>
      <c r="G173" t="s">
        <v>3150</v>
      </c>
      <c r="H173" t="s">
        <v>3151</v>
      </c>
      <c r="I173" t="s">
        <v>3152</v>
      </c>
      <c r="J173" t="s">
        <v>3153</v>
      </c>
      <c r="L173" s="18" t="s">
        <v>3154</v>
      </c>
    </row>
    <row r="174" spans="1:14" s="2" customFormat="1" ht="80">
      <c r="A174" s="2" t="s">
        <v>3096</v>
      </c>
      <c r="C174" s="2" t="s">
        <v>3095</v>
      </c>
      <c r="E174" s="2" t="s">
        <v>3709</v>
      </c>
      <c r="F174" s="2" t="s">
        <v>3706</v>
      </c>
      <c r="G174" s="2" t="s">
        <v>3703</v>
      </c>
      <c r="H174" s="2" t="s">
        <v>3704</v>
      </c>
      <c r="I174" s="2" t="s">
        <v>3705</v>
      </c>
      <c r="J174" s="2" t="s">
        <v>3707</v>
      </c>
      <c r="L174" s="6" t="s">
        <v>3702</v>
      </c>
      <c r="N174" s="2" t="s">
        <v>3708</v>
      </c>
    </row>
    <row r="175" spans="1:14">
      <c r="A175" t="s">
        <v>363</v>
      </c>
      <c r="C175" t="s">
        <v>3559</v>
      </c>
      <c r="E175" t="s">
        <v>363</v>
      </c>
    </row>
    <row r="176" spans="1:14">
      <c r="A176" t="s">
        <v>3097</v>
      </c>
      <c r="C176" t="s">
        <v>3560</v>
      </c>
      <c r="E176" t="s">
        <v>3097</v>
      </c>
    </row>
    <row r="177" spans="1:12">
      <c r="A177" t="s">
        <v>3098</v>
      </c>
      <c r="C177" t="s">
        <v>3561</v>
      </c>
      <c r="E177" t="s">
        <v>3098</v>
      </c>
    </row>
    <row r="178" spans="1:12">
      <c r="A178" t="s">
        <v>3099</v>
      </c>
      <c r="C178" t="s">
        <v>3562</v>
      </c>
      <c r="E178" t="s">
        <v>3099</v>
      </c>
    </row>
    <row r="179" spans="1:12">
      <c r="A179" t="s">
        <v>3100</v>
      </c>
      <c r="C179" t="s">
        <v>3563</v>
      </c>
      <c r="E179" t="s">
        <v>3100</v>
      </c>
    </row>
    <row r="180" spans="1:12">
      <c r="A180" t="s">
        <v>2975</v>
      </c>
      <c r="C180" t="s">
        <v>2974</v>
      </c>
      <c r="E180" t="s">
        <v>2975</v>
      </c>
    </row>
    <row r="181" spans="1:12">
      <c r="A181" t="s">
        <v>2976</v>
      </c>
      <c r="C181" t="s">
        <v>3564</v>
      </c>
      <c r="E181" t="s">
        <v>2976</v>
      </c>
    </row>
    <row r="182" spans="1:12">
      <c r="A182" t="s">
        <v>2977</v>
      </c>
      <c r="C182" t="s">
        <v>3565</v>
      </c>
      <c r="E182" t="s">
        <v>2977</v>
      </c>
    </row>
    <row r="183" spans="1:12">
      <c r="A183" t="s">
        <v>2816</v>
      </c>
      <c r="C183" t="s">
        <v>3566</v>
      </c>
      <c r="E183" t="s">
        <v>2816</v>
      </c>
    </row>
    <row r="184" spans="1:12">
      <c r="A184" t="s">
        <v>2968</v>
      </c>
      <c r="C184" t="s">
        <v>2967</v>
      </c>
      <c r="E184" t="s">
        <v>2968</v>
      </c>
    </row>
    <row r="185" spans="1:12">
      <c r="A185" t="s">
        <v>2969</v>
      </c>
      <c r="C185" t="s">
        <v>3567</v>
      </c>
      <c r="E185" t="s">
        <v>2969</v>
      </c>
    </row>
    <row r="186" spans="1:12" s="2" customFormat="1" ht="96">
      <c r="A186" s="2" t="s">
        <v>2970</v>
      </c>
      <c r="C186" s="2" t="s">
        <v>3568</v>
      </c>
      <c r="E186" s="2" t="s">
        <v>3558</v>
      </c>
      <c r="G186" s="2" t="s">
        <v>3554</v>
      </c>
      <c r="H186" s="2" t="s">
        <v>3555</v>
      </c>
      <c r="I186" s="2" t="s">
        <v>3556</v>
      </c>
      <c r="J186" s="2" t="s">
        <v>3557</v>
      </c>
      <c r="L186" s="6" t="s">
        <v>3553</v>
      </c>
    </row>
    <row r="187" spans="1:12">
      <c r="A187" t="s">
        <v>2971</v>
      </c>
      <c r="C187" t="s">
        <v>3569</v>
      </c>
      <c r="E187" t="s">
        <v>2971</v>
      </c>
    </row>
    <row r="188" spans="1:12">
      <c r="A188" t="s">
        <v>2691</v>
      </c>
      <c r="C188" t="s">
        <v>2893</v>
      </c>
      <c r="E188" t="s">
        <v>2691</v>
      </c>
    </row>
    <row r="189" spans="1:12">
      <c r="A189" t="s">
        <v>2972</v>
      </c>
      <c r="C189" t="s">
        <v>3570</v>
      </c>
      <c r="E189" t="s">
        <v>2972</v>
      </c>
    </row>
    <row r="190" spans="1:12" s="2" customFormat="1" ht="128">
      <c r="A190" s="32" t="s">
        <v>3148</v>
      </c>
      <c r="C190" s="2" t="s">
        <v>3141</v>
      </c>
      <c r="E190" s="2" t="s">
        <v>3140</v>
      </c>
      <c r="F190" s="6" t="s">
        <v>3138</v>
      </c>
      <c r="G190" s="2" t="s">
        <v>3134</v>
      </c>
      <c r="H190" s="2" t="s">
        <v>3135</v>
      </c>
      <c r="I190" s="2" t="s">
        <v>3136</v>
      </c>
      <c r="J190" s="2" t="s">
        <v>3137</v>
      </c>
      <c r="L190" s="6" t="s">
        <v>3139</v>
      </c>
    </row>
    <row r="191" spans="1:12">
      <c r="A191" t="s">
        <v>2973</v>
      </c>
      <c r="C191" t="s">
        <v>2395</v>
      </c>
      <c r="E191" t="s">
        <v>2973</v>
      </c>
    </row>
    <row r="192" spans="1:12">
      <c r="A192" t="s">
        <v>451</v>
      </c>
      <c r="C192" t="s">
        <v>3571</v>
      </c>
      <c r="E192" t="s">
        <v>451</v>
      </c>
    </row>
    <row r="193" spans="1:5">
      <c r="A193" t="s">
        <v>2961</v>
      </c>
      <c r="C193" t="s">
        <v>3572</v>
      </c>
      <c r="E193" t="s">
        <v>2961</v>
      </c>
    </row>
    <row r="194" spans="1:5">
      <c r="A194" t="s">
        <v>2962</v>
      </c>
      <c r="C194" t="s">
        <v>3573</v>
      </c>
      <c r="E194" t="s">
        <v>2962</v>
      </c>
    </row>
    <row r="195" spans="1:5">
      <c r="A195" t="s">
        <v>2963</v>
      </c>
      <c r="C195" t="s">
        <v>3574</v>
      </c>
      <c r="E195" t="s">
        <v>2963</v>
      </c>
    </row>
    <row r="196" spans="1:5">
      <c r="A196" t="s">
        <v>2964</v>
      </c>
      <c r="C196" t="s">
        <v>3575</v>
      </c>
      <c r="E196" t="s">
        <v>2964</v>
      </c>
    </row>
    <row r="197" spans="1:5">
      <c r="A197" t="s">
        <v>2965</v>
      </c>
      <c r="C197" t="s">
        <v>3576</v>
      </c>
      <c r="E197" t="s">
        <v>2965</v>
      </c>
    </row>
    <row r="198" spans="1:5">
      <c r="A198" t="s">
        <v>2966</v>
      </c>
      <c r="C198" t="s">
        <v>3577</v>
      </c>
      <c r="E198" t="s">
        <v>2966</v>
      </c>
    </row>
    <row r="199" spans="1:5">
      <c r="A199" t="s">
        <v>2955</v>
      </c>
      <c r="C199" t="s">
        <v>3578</v>
      </c>
      <c r="E199" t="s">
        <v>2955</v>
      </c>
    </row>
    <row r="200" spans="1:5">
      <c r="A200" t="s">
        <v>2956</v>
      </c>
      <c r="C200" t="s">
        <v>3579</v>
      </c>
      <c r="E200" t="s">
        <v>2956</v>
      </c>
    </row>
    <row r="201" spans="1:5">
      <c r="A201" t="s">
        <v>2957</v>
      </c>
      <c r="C201" t="s">
        <v>3331</v>
      </c>
      <c r="E201" t="s">
        <v>2957</v>
      </c>
    </row>
    <row r="202" spans="1:5">
      <c r="A202" t="s">
        <v>479</v>
      </c>
      <c r="C202" t="s">
        <v>3580</v>
      </c>
      <c r="E202" t="s">
        <v>479</v>
      </c>
    </row>
    <row r="203" spans="1:5">
      <c r="A203" t="s">
        <v>2958</v>
      </c>
      <c r="C203" t="s">
        <v>3581</v>
      </c>
      <c r="E203" t="s">
        <v>2958</v>
      </c>
    </row>
    <row r="204" spans="1:5">
      <c r="A204" t="s">
        <v>2959</v>
      </c>
      <c r="C204" t="s">
        <v>3582</v>
      </c>
      <c r="E204" t="s">
        <v>2959</v>
      </c>
    </row>
    <row r="205" spans="1:5">
      <c r="A205" t="s">
        <v>2960</v>
      </c>
      <c r="C205" t="s">
        <v>3583</v>
      </c>
      <c r="E205" t="s">
        <v>2960</v>
      </c>
    </row>
    <row r="206" spans="1:5">
      <c r="A206" t="s">
        <v>2951</v>
      </c>
      <c r="C206" t="s">
        <v>2950</v>
      </c>
      <c r="E206" t="s">
        <v>2951</v>
      </c>
    </row>
    <row r="207" spans="1:5">
      <c r="A207" t="s">
        <v>2952</v>
      </c>
      <c r="C207" t="s">
        <v>3584</v>
      </c>
      <c r="E207" t="s">
        <v>2952</v>
      </c>
    </row>
    <row r="208" spans="1:5">
      <c r="A208" t="s">
        <v>2953</v>
      </c>
      <c r="C208" t="s">
        <v>3585</v>
      </c>
      <c r="E208" t="s">
        <v>2953</v>
      </c>
    </row>
    <row r="209" spans="1:12">
      <c r="A209" t="s">
        <v>2954</v>
      </c>
      <c r="C209" t="s">
        <v>3586</v>
      </c>
      <c r="E209" t="s">
        <v>2954</v>
      </c>
    </row>
    <row r="210" spans="1:12">
      <c r="A210" t="s">
        <v>2853</v>
      </c>
      <c r="C210" t="s">
        <v>3587</v>
      </c>
      <c r="E210" t="s">
        <v>2853</v>
      </c>
    </row>
    <row r="211" spans="1:12">
      <c r="A211" t="s">
        <v>2854</v>
      </c>
      <c r="C211" t="s">
        <v>3588</v>
      </c>
      <c r="E211" t="s">
        <v>2854</v>
      </c>
    </row>
    <row r="212" spans="1:12">
      <c r="A212" t="s">
        <v>2855</v>
      </c>
      <c r="C212" t="s">
        <v>3589</v>
      </c>
      <c r="E212" t="s">
        <v>2855</v>
      </c>
    </row>
    <row r="213" spans="1:12">
      <c r="A213" t="s">
        <v>2856</v>
      </c>
      <c r="C213" t="s">
        <v>3590</v>
      </c>
      <c r="E213" t="s">
        <v>2856</v>
      </c>
    </row>
    <row r="214" spans="1:12" s="2" customFormat="1" ht="112">
      <c r="A214" s="2" t="s">
        <v>2857</v>
      </c>
      <c r="C214" s="2" t="s">
        <v>2857</v>
      </c>
      <c r="E214" s="2" t="s">
        <v>2838</v>
      </c>
      <c r="F214" s="6" t="s">
        <v>3147</v>
      </c>
      <c r="G214" s="2" t="s">
        <v>3143</v>
      </c>
      <c r="H214" s="2" t="s">
        <v>3144</v>
      </c>
      <c r="I214" s="2" t="s">
        <v>3145</v>
      </c>
      <c r="J214" s="2" t="s">
        <v>3146</v>
      </c>
      <c r="L214" s="6" t="s">
        <v>3142</v>
      </c>
    </row>
    <row r="215" spans="1:12" s="2" customFormat="1" ht="160">
      <c r="A215" s="2" t="s">
        <v>2859</v>
      </c>
      <c r="C215" s="2" t="s">
        <v>2858</v>
      </c>
      <c r="E215" s="2" t="s">
        <v>3822</v>
      </c>
      <c r="F215" s="2" t="s">
        <v>3823</v>
      </c>
      <c r="G215" s="2" t="s">
        <v>3817</v>
      </c>
      <c r="H215" s="2" t="s">
        <v>3818</v>
      </c>
      <c r="I215" s="2" t="s">
        <v>3819</v>
      </c>
      <c r="J215" s="2" t="s">
        <v>3820</v>
      </c>
      <c r="L215" s="6" t="s">
        <v>3821</v>
      </c>
    </row>
    <row r="216" spans="1:12">
      <c r="A216" t="s">
        <v>2860</v>
      </c>
      <c r="C216" t="s">
        <v>3591</v>
      </c>
      <c r="E216" t="s">
        <v>2860</v>
      </c>
    </row>
    <row r="217" spans="1:12">
      <c r="A217" t="s">
        <v>2861</v>
      </c>
      <c r="C217" t="s">
        <v>3592</v>
      </c>
      <c r="E217" t="s">
        <v>2861</v>
      </c>
    </row>
    <row r="218" spans="1:12">
      <c r="A218" t="s">
        <v>2862</v>
      </c>
      <c r="C218" t="s">
        <v>3593</v>
      </c>
      <c r="E218" t="s">
        <v>2862</v>
      </c>
    </row>
    <row r="219" spans="1:12">
      <c r="A219" t="s">
        <v>2863</v>
      </c>
      <c r="C219" t="s">
        <v>3594</v>
      </c>
      <c r="E219" t="s">
        <v>2863</v>
      </c>
    </row>
    <row r="220" spans="1:12">
      <c r="A220" t="s">
        <v>2864</v>
      </c>
      <c r="C220" t="s">
        <v>3595</v>
      </c>
      <c r="E220" t="s">
        <v>2864</v>
      </c>
    </row>
    <row r="221" spans="1:12" s="2" customFormat="1" ht="129">
      <c r="A221" s="13" t="s">
        <v>2574</v>
      </c>
      <c r="B221" s="8" t="s">
        <v>2575</v>
      </c>
      <c r="C221" s="2" t="s">
        <v>2575</v>
      </c>
      <c r="E221" s="2" t="s">
        <v>3815</v>
      </c>
      <c r="F221" s="6" t="s">
        <v>3814</v>
      </c>
      <c r="G221" s="2" t="s">
        <v>2576</v>
      </c>
      <c r="H221" s="2" t="s">
        <v>2577</v>
      </c>
      <c r="I221" s="2" t="s">
        <v>2578</v>
      </c>
      <c r="J221" s="2" t="s">
        <v>3816</v>
      </c>
      <c r="L221" s="6" t="s">
        <v>3813</v>
      </c>
    </row>
    <row r="222" spans="1:12" ht="18">
      <c r="A222" s="1" t="s">
        <v>2579</v>
      </c>
      <c r="B222" s="1" t="s">
        <v>2580</v>
      </c>
      <c r="C222" s="1" t="s">
        <v>2580</v>
      </c>
      <c r="E222" s="1" t="s">
        <v>2579</v>
      </c>
    </row>
    <row r="223" spans="1:12" s="2" customFormat="1" ht="81">
      <c r="A223" s="40" t="s">
        <v>2581</v>
      </c>
      <c r="B223" s="8" t="s">
        <v>2582</v>
      </c>
      <c r="C223" s="8" t="s">
        <v>2582</v>
      </c>
      <c r="E223" s="8" t="s">
        <v>3933</v>
      </c>
      <c r="F223" s="2" t="s">
        <v>3937</v>
      </c>
      <c r="G223" s="2" t="s">
        <v>3932</v>
      </c>
      <c r="H223" s="2" t="s">
        <v>3936</v>
      </c>
      <c r="I223" s="2" t="s">
        <v>3935</v>
      </c>
      <c r="J223" s="2" t="s">
        <v>3934</v>
      </c>
      <c r="L223" s="6" t="s">
        <v>3938</v>
      </c>
    </row>
    <row r="224" spans="1:12" ht="18">
      <c r="A224" s="1" t="s">
        <v>2583</v>
      </c>
      <c r="B224" s="1" t="s">
        <v>2584</v>
      </c>
      <c r="C224" s="1" t="s">
        <v>2584</v>
      </c>
      <c r="E224" s="1" t="s">
        <v>2583</v>
      </c>
    </row>
    <row r="225" spans="1:12" ht="18">
      <c r="A225" s="1" t="s">
        <v>2585</v>
      </c>
      <c r="B225" s="1" t="s">
        <v>2586</v>
      </c>
      <c r="C225" s="1" t="s">
        <v>2586</v>
      </c>
      <c r="E225" s="1" t="s">
        <v>2585</v>
      </c>
    </row>
    <row r="226" spans="1:12" ht="18">
      <c r="A226" s="1" t="s">
        <v>2587</v>
      </c>
      <c r="B226" s="1" t="s">
        <v>2588</v>
      </c>
      <c r="C226" s="1" t="s">
        <v>2588</v>
      </c>
      <c r="E226" s="1" t="s">
        <v>2587</v>
      </c>
    </row>
    <row r="227" spans="1:12" s="2" customFormat="1" ht="257">
      <c r="A227" s="8" t="s">
        <v>535</v>
      </c>
      <c r="B227" s="2" t="s">
        <v>535</v>
      </c>
      <c r="C227" s="2" t="s">
        <v>535</v>
      </c>
      <c r="E227" s="2" t="s">
        <v>3664</v>
      </c>
      <c r="F227" s="6" t="s">
        <v>3663</v>
      </c>
      <c r="G227" s="2" t="s">
        <v>3666</v>
      </c>
      <c r="H227" s="2" t="s">
        <v>3667</v>
      </c>
      <c r="I227" s="2" t="s">
        <v>3668</v>
      </c>
      <c r="J227" s="2" t="s">
        <v>3669</v>
      </c>
      <c r="L227" s="6" t="s">
        <v>3665</v>
      </c>
    </row>
    <row r="228" spans="1:12">
      <c r="A228" t="s">
        <v>2178</v>
      </c>
      <c r="B228" t="s">
        <v>2178</v>
      </c>
      <c r="C228" t="s">
        <v>2178</v>
      </c>
      <c r="E228" t="s">
        <v>2178</v>
      </c>
    </row>
    <row r="229" spans="1:12">
      <c r="A229" t="s">
        <v>2589</v>
      </c>
      <c r="B229" t="s">
        <v>2589</v>
      </c>
      <c r="C229" t="s">
        <v>2589</v>
      </c>
      <c r="E229" t="s">
        <v>2589</v>
      </c>
    </row>
    <row r="230" spans="1:12" ht="18">
      <c r="A230" s="1" t="s">
        <v>2590</v>
      </c>
      <c r="B230" s="37" t="s">
        <v>3861</v>
      </c>
      <c r="C230" s="37" t="s">
        <v>3861</v>
      </c>
      <c r="E230" s="1" t="s">
        <v>2590</v>
      </c>
    </row>
    <row r="231" spans="1:12" ht="18">
      <c r="A231" s="1" t="s">
        <v>2591</v>
      </c>
      <c r="B231" s="37" t="s">
        <v>3862</v>
      </c>
      <c r="C231" s="37" t="s">
        <v>3862</v>
      </c>
      <c r="E231" s="1" t="s">
        <v>2591</v>
      </c>
    </row>
    <row r="232" spans="1:12">
      <c r="A232" t="s">
        <v>2592</v>
      </c>
      <c r="B232" t="s">
        <v>2593</v>
      </c>
      <c r="C232" t="s">
        <v>2593</v>
      </c>
      <c r="E232" t="s">
        <v>2592</v>
      </c>
    </row>
    <row r="233" spans="1:12" ht="18">
      <c r="A233" s="1" t="s">
        <v>2594</v>
      </c>
      <c r="B233" s="1" t="s">
        <v>2595</v>
      </c>
      <c r="C233" s="1" t="s">
        <v>2595</v>
      </c>
      <c r="E233" s="1" t="s">
        <v>2594</v>
      </c>
    </row>
    <row r="234" spans="1:12" ht="18">
      <c r="A234" s="1" t="s">
        <v>2596</v>
      </c>
      <c r="B234" s="1" t="s">
        <v>2597</v>
      </c>
      <c r="C234" s="1" t="s">
        <v>2597</v>
      </c>
      <c r="E234" s="1" t="s">
        <v>2596</v>
      </c>
    </row>
    <row r="235" spans="1:12">
      <c r="A235" t="s">
        <v>2598</v>
      </c>
      <c r="B235" t="s">
        <v>2599</v>
      </c>
      <c r="C235" t="s">
        <v>2599</v>
      </c>
      <c r="E235" t="s">
        <v>2598</v>
      </c>
    </row>
    <row r="236" spans="1:12" s="2" customFormat="1" ht="112">
      <c r="A236" s="2" t="s">
        <v>2600</v>
      </c>
      <c r="B236" s="2" t="s">
        <v>2600</v>
      </c>
      <c r="C236" s="2" t="s">
        <v>2600</v>
      </c>
      <c r="E236" s="2" t="s">
        <v>3626</v>
      </c>
      <c r="G236" s="2" t="s">
        <v>3628</v>
      </c>
      <c r="H236" s="2" t="s">
        <v>3629</v>
      </c>
      <c r="I236" s="2" t="s">
        <v>3630</v>
      </c>
      <c r="J236" s="2" t="s">
        <v>3631</v>
      </c>
      <c r="L236" s="6" t="s">
        <v>3627</v>
      </c>
    </row>
    <row r="237" spans="1:12" ht="18">
      <c r="A237" s="1" t="s">
        <v>2601</v>
      </c>
      <c r="B237" s="1" t="s">
        <v>2602</v>
      </c>
      <c r="C237" s="1" t="s">
        <v>2602</v>
      </c>
      <c r="E237" s="1" t="s">
        <v>2601</v>
      </c>
    </row>
    <row r="238" spans="1:12" ht="18">
      <c r="A238" s="1" t="s">
        <v>2603</v>
      </c>
      <c r="B238" s="1" t="s">
        <v>2604</v>
      </c>
      <c r="C238" s="1" t="s">
        <v>2604</v>
      </c>
      <c r="E238" s="1" t="s">
        <v>2603</v>
      </c>
    </row>
    <row r="239" spans="1:12" ht="18">
      <c r="A239" s="1" t="s">
        <v>2605</v>
      </c>
      <c r="B239" s="1" t="s">
        <v>2606</v>
      </c>
      <c r="C239" s="1" t="s">
        <v>2606</v>
      </c>
      <c r="E239" s="1" t="s">
        <v>2605</v>
      </c>
    </row>
    <row r="240" spans="1:12" ht="18">
      <c r="A240" s="1" t="s">
        <v>2607</v>
      </c>
      <c r="B240" s="1" t="s">
        <v>2608</v>
      </c>
      <c r="C240" s="1" t="s">
        <v>2608</v>
      </c>
      <c r="E240" s="1" t="s">
        <v>2607</v>
      </c>
    </row>
    <row r="241" spans="1:12" ht="18">
      <c r="A241" t="s">
        <v>2609</v>
      </c>
      <c r="B241" s="1" t="s">
        <v>2610</v>
      </c>
      <c r="C241" s="1" t="s">
        <v>2610</v>
      </c>
      <c r="E241" t="s">
        <v>2609</v>
      </c>
    </row>
    <row r="242" spans="1:12" ht="18">
      <c r="A242" s="1" t="s">
        <v>2611</v>
      </c>
      <c r="B242" s="1" t="s">
        <v>2612</v>
      </c>
      <c r="C242" s="1" t="s">
        <v>2612</v>
      </c>
      <c r="E242" s="1" t="s">
        <v>2611</v>
      </c>
    </row>
    <row r="243" spans="1:12" ht="18">
      <c r="A243" t="s">
        <v>2613</v>
      </c>
      <c r="B243" s="1" t="s">
        <v>2614</v>
      </c>
      <c r="C243" s="1" t="s">
        <v>2614</v>
      </c>
      <c r="E243" t="s">
        <v>2613</v>
      </c>
    </row>
    <row r="244" spans="1:12" ht="18">
      <c r="A244" s="1" t="s">
        <v>2615</v>
      </c>
      <c r="B244" s="1" t="s">
        <v>2616</v>
      </c>
      <c r="C244" s="1" t="s">
        <v>2616</v>
      </c>
      <c r="E244" s="1" t="s">
        <v>2615</v>
      </c>
    </row>
    <row r="245" spans="1:12" ht="18">
      <c r="A245" s="1" t="s">
        <v>2617</v>
      </c>
      <c r="B245" s="1" t="s">
        <v>2617</v>
      </c>
      <c r="C245" s="1" t="s">
        <v>2617</v>
      </c>
      <c r="E245" s="1" t="s">
        <v>2617</v>
      </c>
    </row>
    <row r="246" spans="1:12" s="2" customFormat="1" ht="129">
      <c r="A246" s="8" t="s">
        <v>3313</v>
      </c>
      <c r="B246" s="8" t="s">
        <v>3312</v>
      </c>
      <c r="C246" s="8" t="s">
        <v>3312</v>
      </c>
      <c r="E246" s="8" t="s">
        <v>3535</v>
      </c>
      <c r="F246" s="35" t="s">
        <v>3538</v>
      </c>
      <c r="G246" s="2" t="s">
        <v>3536</v>
      </c>
      <c r="H246" s="2" t="s">
        <v>3537</v>
      </c>
      <c r="I246" s="2" t="s">
        <v>3496</v>
      </c>
      <c r="J246" s="2" t="s">
        <v>3497</v>
      </c>
      <c r="L246" s="6" t="s">
        <v>3498</v>
      </c>
    </row>
    <row r="247" spans="1:12" ht="18">
      <c r="A247" s="1" t="s">
        <v>3314</v>
      </c>
      <c r="B247" s="1" t="s">
        <v>3321</v>
      </c>
      <c r="C247" s="1" t="s">
        <v>3321</v>
      </c>
      <c r="E247" s="1" t="s">
        <v>3314</v>
      </c>
    </row>
    <row r="248" spans="1:12" ht="18">
      <c r="A248" s="1" t="s">
        <v>2618</v>
      </c>
      <c r="B248" s="1" t="s">
        <v>3322</v>
      </c>
      <c r="C248" s="1" t="s">
        <v>3322</v>
      </c>
      <c r="E248" s="1" t="s">
        <v>2618</v>
      </c>
    </row>
    <row r="249" spans="1:12" s="2" customFormat="1" ht="97">
      <c r="A249" s="8" t="s">
        <v>3315</v>
      </c>
      <c r="B249" s="8" t="s">
        <v>3323</v>
      </c>
      <c r="C249" s="8" t="s">
        <v>3323</v>
      </c>
      <c r="E249" s="8" t="s">
        <v>3551</v>
      </c>
      <c r="F249" s="8" t="s">
        <v>3552</v>
      </c>
      <c r="G249" s="2" t="s">
        <v>3546</v>
      </c>
      <c r="H249" s="2" t="s">
        <v>3547</v>
      </c>
      <c r="I249" s="2" t="s">
        <v>3548</v>
      </c>
      <c r="J249" s="2" t="s">
        <v>3549</v>
      </c>
      <c r="L249" s="6" t="s">
        <v>3550</v>
      </c>
    </row>
    <row r="250" spans="1:12" ht="18">
      <c r="A250" s="1" t="s">
        <v>3316</v>
      </c>
      <c r="B250" s="1" t="s">
        <v>3324</v>
      </c>
      <c r="C250" s="1" t="s">
        <v>3324</v>
      </c>
      <c r="E250" s="1" t="s">
        <v>3316</v>
      </c>
    </row>
    <row r="251" spans="1:12" ht="18">
      <c r="A251" s="1" t="s">
        <v>2511</v>
      </c>
      <c r="B251" t="s">
        <v>2512</v>
      </c>
      <c r="C251" t="s">
        <v>2512</v>
      </c>
      <c r="E251" s="1" t="s">
        <v>2511</v>
      </c>
    </row>
    <row r="252" spans="1:12" s="2" customFormat="1" ht="97">
      <c r="A252" s="8" t="s">
        <v>3625</v>
      </c>
      <c r="B252" s="8" t="s">
        <v>3325</v>
      </c>
      <c r="C252" s="8" t="s">
        <v>3325</v>
      </c>
      <c r="E252" s="8" t="s">
        <v>3618</v>
      </c>
      <c r="F252" s="6" t="s">
        <v>3624</v>
      </c>
      <c r="G252" s="8" t="s">
        <v>3620</v>
      </c>
      <c r="H252" s="2" t="s">
        <v>3621</v>
      </c>
      <c r="I252" s="8" t="s">
        <v>3622</v>
      </c>
      <c r="J252" s="2" t="s">
        <v>3623</v>
      </c>
      <c r="L252" s="6" t="s">
        <v>3619</v>
      </c>
    </row>
    <row r="253" spans="1:12" ht="18">
      <c r="A253" s="1" t="s">
        <v>3317</v>
      </c>
      <c r="B253" s="1" t="s">
        <v>3326</v>
      </c>
      <c r="C253" s="1" t="s">
        <v>3326</v>
      </c>
      <c r="E253" s="1" t="s">
        <v>3317</v>
      </c>
    </row>
    <row r="254" spans="1:12" ht="18">
      <c r="A254" s="1" t="s">
        <v>3318</v>
      </c>
      <c r="B254" s="1" t="s">
        <v>3327</v>
      </c>
      <c r="C254" s="1" t="s">
        <v>3327</v>
      </c>
      <c r="E254" s="1" t="s">
        <v>3318</v>
      </c>
    </row>
    <row r="255" spans="1:12" ht="18">
      <c r="A255" s="1" t="s">
        <v>3319</v>
      </c>
      <c r="B255" s="1" t="s">
        <v>3328</v>
      </c>
      <c r="C255" s="1" t="s">
        <v>3328</v>
      </c>
      <c r="E255" s="1" t="s">
        <v>3319</v>
      </c>
    </row>
    <row r="256" spans="1:12" s="2" customFormat="1" ht="145">
      <c r="A256" s="8" t="s">
        <v>3320</v>
      </c>
      <c r="B256" s="8" t="s">
        <v>3329</v>
      </c>
      <c r="C256" s="8" t="s">
        <v>3329</v>
      </c>
      <c r="E256" s="8" t="s">
        <v>3544</v>
      </c>
      <c r="F256" s="35" t="s">
        <v>3545</v>
      </c>
      <c r="G256" s="2" t="s">
        <v>3539</v>
      </c>
      <c r="H256" s="2" t="s">
        <v>3540</v>
      </c>
      <c r="I256" s="2" t="s">
        <v>3541</v>
      </c>
      <c r="J256" s="2" t="s">
        <v>3542</v>
      </c>
      <c r="L256" s="6" t="s">
        <v>3543</v>
      </c>
    </row>
    <row r="257" spans="1:12" ht="18">
      <c r="A257" s="1" t="s">
        <v>3290</v>
      </c>
      <c r="B257" s="1" t="s">
        <v>3330</v>
      </c>
      <c r="C257" s="1" t="s">
        <v>3330</v>
      </c>
      <c r="E257" s="1" t="s">
        <v>3290</v>
      </c>
    </row>
    <row r="258" spans="1:12" ht="18">
      <c r="A258" s="1" t="s">
        <v>2957</v>
      </c>
      <c r="B258" s="1" t="s">
        <v>3331</v>
      </c>
      <c r="C258" s="1" t="s">
        <v>3331</v>
      </c>
      <c r="E258" s="1" t="s">
        <v>2957</v>
      </c>
    </row>
    <row r="259" spans="1:12" ht="18">
      <c r="A259" s="1" t="s">
        <v>3291</v>
      </c>
      <c r="B259" s="1" t="s">
        <v>3332</v>
      </c>
      <c r="C259" s="1" t="s">
        <v>3332</v>
      </c>
      <c r="E259" s="1" t="s">
        <v>3291</v>
      </c>
    </row>
    <row r="260" spans="1:12" ht="18">
      <c r="A260" s="1" t="s">
        <v>3292</v>
      </c>
      <c r="B260" s="1" t="s">
        <v>3333</v>
      </c>
      <c r="C260" s="1" t="s">
        <v>3333</v>
      </c>
      <c r="E260" s="1" t="s">
        <v>3292</v>
      </c>
    </row>
    <row r="261" spans="1:12" ht="18">
      <c r="A261" s="1" t="s">
        <v>3293</v>
      </c>
      <c r="B261" s="1" t="s">
        <v>3334</v>
      </c>
      <c r="C261" s="1" t="s">
        <v>3334</v>
      </c>
      <c r="E261" s="1" t="s">
        <v>3293</v>
      </c>
    </row>
    <row r="262" spans="1:12" ht="18">
      <c r="A262" s="1" t="s">
        <v>3294</v>
      </c>
      <c r="B262" s="1" t="s">
        <v>3335</v>
      </c>
      <c r="C262" s="1" t="s">
        <v>3335</v>
      </c>
      <c r="E262" s="1" t="s">
        <v>3294</v>
      </c>
    </row>
    <row r="263" spans="1:12" s="2" customFormat="1" ht="97">
      <c r="A263" s="8" t="s">
        <v>3499</v>
      </c>
      <c r="B263" s="8" t="s">
        <v>3500</v>
      </c>
      <c r="C263" s="8" t="s">
        <v>3500</v>
      </c>
      <c r="E263" s="8" t="s">
        <v>3501</v>
      </c>
      <c r="G263" s="8" t="s">
        <v>3503</v>
      </c>
      <c r="H263" s="2" t="s">
        <v>3504</v>
      </c>
      <c r="I263" s="8" t="s">
        <v>3505</v>
      </c>
      <c r="J263" s="2" t="s">
        <v>3506</v>
      </c>
      <c r="L263" s="6" t="s">
        <v>3502</v>
      </c>
    </row>
    <row r="264" spans="1:12" ht="18">
      <c r="A264" s="1" t="s">
        <v>3295</v>
      </c>
      <c r="B264" s="1" t="s">
        <v>3336</v>
      </c>
      <c r="C264" s="1" t="s">
        <v>3336</v>
      </c>
      <c r="E264" s="1" t="s">
        <v>3295</v>
      </c>
    </row>
    <row r="265" spans="1:12" ht="18">
      <c r="A265" s="1" t="s">
        <v>3296</v>
      </c>
      <c r="B265" s="1" t="s">
        <v>3337</v>
      </c>
      <c r="C265" s="1" t="s">
        <v>3337</v>
      </c>
      <c r="E265" s="1" t="s">
        <v>3296</v>
      </c>
    </row>
    <row r="266" spans="1:12" s="2" customFormat="1" ht="161">
      <c r="A266" s="8" t="s">
        <v>2530</v>
      </c>
      <c r="B266" s="8" t="s">
        <v>2531</v>
      </c>
      <c r="C266" s="8" t="s">
        <v>2531</v>
      </c>
      <c r="E266" s="8" t="s">
        <v>3489</v>
      </c>
      <c r="F266" s="8" t="s">
        <v>3490</v>
      </c>
      <c r="G266" s="8" t="s">
        <v>3492</v>
      </c>
      <c r="H266" s="8" t="s">
        <v>3493</v>
      </c>
      <c r="I266" s="8" t="s">
        <v>3494</v>
      </c>
      <c r="J266" s="8" t="s">
        <v>3495</v>
      </c>
      <c r="L266" s="6" t="s">
        <v>3491</v>
      </c>
    </row>
    <row r="267" spans="1:12" ht="18">
      <c r="A267" s="1" t="s">
        <v>3297</v>
      </c>
      <c r="B267" s="1" t="s">
        <v>3338</v>
      </c>
      <c r="C267" s="1" t="s">
        <v>3338</v>
      </c>
      <c r="E267" s="1" t="s">
        <v>3297</v>
      </c>
    </row>
    <row r="268" spans="1:12" ht="18">
      <c r="A268" s="1" t="s">
        <v>1599</v>
      </c>
      <c r="B268" s="1" t="s">
        <v>1600</v>
      </c>
      <c r="C268" s="1" t="s">
        <v>1600</v>
      </c>
      <c r="E268" s="1" t="s">
        <v>1599</v>
      </c>
    </row>
    <row r="269" spans="1:12" ht="18">
      <c r="A269" s="1" t="s">
        <v>3298</v>
      </c>
      <c r="B269" s="1" t="s">
        <v>3339</v>
      </c>
      <c r="C269" s="1" t="s">
        <v>3339</v>
      </c>
      <c r="E269" s="1" t="s">
        <v>3298</v>
      </c>
    </row>
    <row r="270" spans="1:12" ht="18">
      <c r="A270" s="1" t="s">
        <v>3299</v>
      </c>
      <c r="B270" t="s">
        <v>3340</v>
      </c>
      <c r="C270" t="s">
        <v>3340</v>
      </c>
      <c r="E270" s="1" t="s">
        <v>3299</v>
      </c>
    </row>
    <row r="271" spans="1:12" s="2" customFormat="1" ht="113">
      <c r="A271" s="8" t="s">
        <v>3300</v>
      </c>
      <c r="B271" s="2" t="s">
        <v>3341</v>
      </c>
      <c r="C271" s="2" t="s">
        <v>3341</v>
      </c>
      <c r="E271" s="2" t="s">
        <v>3483</v>
      </c>
      <c r="G271" s="2" t="s">
        <v>3485</v>
      </c>
      <c r="H271" s="2" t="s">
        <v>3486</v>
      </c>
      <c r="I271" s="2" t="s">
        <v>3487</v>
      </c>
      <c r="J271" s="2" t="s">
        <v>3488</v>
      </c>
      <c r="L271" s="6" t="s">
        <v>3484</v>
      </c>
    </row>
    <row r="272" spans="1:12" ht="18">
      <c r="A272" s="1" t="s">
        <v>3301</v>
      </c>
      <c r="B272" t="s">
        <v>3342</v>
      </c>
      <c r="C272" t="s">
        <v>3342</v>
      </c>
      <c r="E272" s="1" t="s">
        <v>3301</v>
      </c>
    </row>
    <row r="273" spans="1:12" ht="18">
      <c r="A273" s="1" t="s">
        <v>2532</v>
      </c>
      <c r="B273" t="s">
        <v>2533</v>
      </c>
      <c r="C273" t="s">
        <v>2533</v>
      </c>
      <c r="E273" s="1" t="s">
        <v>2532</v>
      </c>
    </row>
    <row r="274" spans="1:12" s="2" customFormat="1" ht="81">
      <c r="A274" s="8" t="s">
        <v>3302</v>
      </c>
      <c r="B274" s="2" t="s">
        <v>3343</v>
      </c>
      <c r="C274" s="2" t="s">
        <v>3343</v>
      </c>
      <c r="E274" s="2" t="s">
        <v>3522</v>
      </c>
      <c r="F274" s="2" t="s">
        <v>3521</v>
      </c>
      <c r="G274" s="2" t="s">
        <v>3524</v>
      </c>
      <c r="H274" s="2" t="s">
        <v>3525</v>
      </c>
      <c r="I274" s="2" t="s">
        <v>3526</v>
      </c>
      <c r="J274" s="2" t="s">
        <v>3527</v>
      </c>
      <c r="L274" s="6" t="s">
        <v>3523</v>
      </c>
    </row>
    <row r="275" spans="1:12" s="2" customFormat="1" ht="98">
      <c r="A275" s="8" t="s">
        <v>3303</v>
      </c>
      <c r="B275" s="2" t="s">
        <v>3344</v>
      </c>
      <c r="C275" s="2" t="s">
        <v>3344</v>
      </c>
      <c r="E275" s="2" t="s">
        <v>3512</v>
      </c>
      <c r="F275" s="2" t="s">
        <v>3513</v>
      </c>
      <c r="G275" s="2" t="s">
        <v>3507</v>
      </c>
      <c r="H275" s="2" t="s">
        <v>3508</v>
      </c>
      <c r="I275" s="2" t="s">
        <v>3510</v>
      </c>
      <c r="J275" s="2" t="s">
        <v>3509</v>
      </c>
      <c r="L275" s="6" t="s">
        <v>3511</v>
      </c>
    </row>
    <row r="276" spans="1:12" ht="18">
      <c r="A276" s="1" t="s">
        <v>3304</v>
      </c>
      <c r="B276" t="s">
        <v>2407</v>
      </c>
      <c r="C276" t="s">
        <v>2407</v>
      </c>
      <c r="E276" s="1" t="s">
        <v>3304</v>
      </c>
    </row>
    <row r="277" spans="1:12" ht="18">
      <c r="A277" s="1" t="s">
        <v>3305</v>
      </c>
      <c r="B277" t="s">
        <v>2391</v>
      </c>
      <c r="C277" t="s">
        <v>2391</v>
      </c>
      <c r="E277" s="1" t="s">
        <v>3305</v>
      </c>
    </row>
    <row r="278" spans="1:12" ht="18">
      <c r="A278" s="1" t="s">
        <v>3306</v>
      </c>
      <c r="B278" t="s">
        <v>3345</v>
      </c>
      <c r="C278" t="s">
        <v>3345</v>
      </c>
      <c r="E278" s="1" t="s">
        <v>3306</v>
      </c>
    </row>
    <row r="279" spans="1:12" ht="18">
      <c r="A279" s="1" t="s">
        <v>3307</v>
      </c>
      <c r="B279" t="s">
        <v>2411</v>
      </c>
      <c r="C279" t="s">
        <v>2411</v>
      </c>
      <c r="E279" s="1" t="s">
        <v>3307</v>
      </c>
    </row>
    <row r="280" spans="1:12" s="2" customFormat="1" ht="129">
      <c r="A280" s="8" t="s">
        <v>3308</v>
      </c>
      <c r="B280" s="2" t="s">
        <v>3346</v>
      </c>
      <c r="C280" s="2" t="s">
        <v>3346</v>
      </c>
      <c r="E280" s="2" t="s">
        <v>3481</v>
      </c>
      <c r="F280" s="2" t="s">
        <v>3482</v>
      </c>
      <c r="G280" s="2" t="s">
        <v>3476</v>
      </c>
      <c r="H280" s="2" t="s">
        <v>3477</v>
      </c>
      <c r="I280" s="2" t="s">
        <v>3478</v>
      </c>
      <c r="J280" s="2" t="s">
        <v>3479</v>
      </c>
      <c r="L280" s="6" t="s">
        <v>3480</v>
      </c>
    </row>
    <row r="281" spans="1:12" ht="18">
      <c r="A281" s="1" t="s">
        <v>3309</v>
      </c>
      <c r="B281" t="s">
        <v>3347</v>
      </c>
      <c r="C281" t="s">
        <v>3347</v>
      </c>
      <c r="E281" s="1" t="s">
        <v>3309</v>
      </c>
    </row>
    <row r="282" spans="1:12" ht="97">
      <c r="A282" s="1" t="s">
        <v>2542</v>
      </c>
      <c r="B282" t="s">
        <v>2543</v>
      </c>
      <c r="C282" t="s">
        <v>2543</v>
      </c>
      <c r="E282" t="s">
        <v>3528</v>
      </c>
      <c r="F282" s="18" t="s">
        <v>3534</v>
      </c>
      <c r="G282" t="s">
        <v>3530</v>
      </c>
      <c r="H282" t="s">
        <v>3531</v>
      </c>
      <c r="I282" t="s">
        <v>3532</v>
      </c>
      <c r="J282" t="s">
        <v>3533</v>
      </c>
      <c r="L282" s="18" t="s">
        <v>3529</v>
      </c>
    </row>
    <row r="283" spans="1:12" ht="18">
      <c r="A283" s="1" t="s">
        <v>3310</v>
      </c>
      <c r="B283" t="s">
        <v>3348</v>
      </c>
      <c r="C283" t="s">
        <v>3348</v>
      </c>
      <c r="E283" s="1" t="s">
        <v>3310</v>
      </c>
    </row>
    <row r="284" spans="1:12" ht="18">
      <c r="A284" s="1" t="s">
        <v>3311</v>
      </c>
      <c r="B284" t="s">
        <v>3349</v>
      </c>
      <c r="C284" t="s">
        <v>3349</v>
      </c>
      <c r="E284" s="1" t="s">
        <v>3311</v>
      </c>
    </row>
    <row r="285" spans="1:12">
      <c r="A285" t="s">
        <v>2725</v>
      </c>
      <c r="B285" t="s">
        <v>3350</v>
      </c>
      <c r="C285" t="s">
        <v>3350</v>
      </c>
      <c r="E285" t="s">
        <v>2725</v>
      </c>
    </row>
    <row r="286" spans="1:12" s="2" customFormat="1" ht="96">
      <c r="A286" s="2" t="s">
        <v>2726</v>
      </c>
      <c r="B286" s="2" t="s">
        <v>3351</v>
      </c>
      <c r="C286" s="2" t="s">
        <v>3351</v>
      </c>
      <c r="E286" s="2" t="s">
        <v>3696</v>
      </c>
      <c r="F286" s="2" t="s">
        <v>3701</v>
      </c>
      <c r="G286" s="2" t="s">
        <v>3697</v>
      </c>
      <c r="H286" s="2" t="s">
        <v>3698</v>
      </c>
      <c r="I286" s="2" t="s">
        <v>3699</v>
      </c>
      <c r="J286" s="2" t="s">
        <v>3700</v>
      </c>
      <c r="L286" s="6" t="s">
        <v>3695</v>
      </c>
    </row>
    <row r="287" spans="1:12" ht="112">
      <c r="A287" t="s">
        <v>2727</v>
      </c>
      <c r="C287" t="s">
        <v>2760</v>
      </c>
      <c r="E287" t="s">
        <v>2759</v>
      </c>
      <c r="G287" t="s">
        <v>2754</v>
      </c>
      <c r="H287" t="s">
        <v>2755</v>
      </c>
      <c r="I287" t="s">
        <v>2756</v>
      </c>
      <c r="J287" t="s">
        <v>2757</v>
      </c>
      <c r="L287" s="18" t="s">
        <v>2758</v>
      </c>
    </row>
    <row r="288" spans="1:12">
      <c r="A288" t="s">
        <v>2728</v>
      </c>
      <c r="C288" t="s">
        <v>3233</v>
      </c>
      <c r="E288" t="s">
        <v>2728</v>
      </c>
    </row>
    <row r="289" spans="1:12">
      <c r="A289" t="s">
        <v>2729</v>
      </c>
      <c r="C289" t="s">
        <v>3234</v>
      </c>
      <c r="E289" t="s">
        <v>2729</v>
      </c>
    </row>
    <row r="290" spans="1:12">
      <c r="A290" t="s">
        <v>2730</v>
      </c>
      <c r="C290" t="s">
        <v>3235</v>
      </c>
      <c r="E290" t="s">
        <v>2730</v>
      </c>
    </row>
    <row r="291" spans="1:12" s="2" customFormat="1" ht="82">
      <c r="A291" s="2" t="s">
        <v>2731</v>
      </c>
      <c r="C291" s="2" t="s">
        <v>3236</v>
      </c>
      <c r="E291" s="2" t="s">
        <v>3739</v>
      </c>
      <c r="F291" s="2" t="s">
        <v>3740</v>
      </c>
      <c r="G291" s="2" t="s">
        <v>3737</v>
      </c>
      <c r="H291" s="2" t="s">
        <v>3738</v>
      </c>
      <c r="I291" s="2" t="s">
        <v>3741</v>
      </c>
      <c r="J291" s="2" t="s">
        <v>3742</v>
      </c>
      <c r="L291" s="6" t="s">
        <v>3743</v>
      </c>
    </row>
    <row r="292" spans="1:12">
      <c r="A292" t="s">
        <v>2732</v>
      </c>
      <c r="C292" t="s">
        <v>3237</v>
      </c>
      <c r="E292" t="s">
        <v>2732</v>
      </c>
    </row>
    <row r="293" spans="1:12" s="2" customFormat="1" ht="80">
      <c r="A293" s="2" t="s">
        <v>3616</v>
      </c>
      <c r="C293" s="2" t="s">
        <v>3617</v>
      </c>
      <c r="E293" s="2" t="s">
        <v>3610</v>
      </c>
      <c r="G293" s="2" t="s">
        <v>3612</v>
      </c>
      <c r="H293" s="2" t="s">
        <v>3613</v>
      </c>
      <c r="I293" s="2" t="s">
        <v>3614</v>
      </c>
      <c r="J293" s="2" t="s">
        <v>3615</v>
      </c>
      <c r="L293" s="6" t="s">
        <v>3611</v>
      </c>
    </row>
    <row r="294" spans="1:12">
      <c r="A294" t="s">
        <v>2733</v>
      </c>
      <c r="C294" t="s">
        <v>3238</v>
      </c>
      <c r="E294" t="s">
        <v>2733</v>
      </c>
    </row>
    <row r="295" spans="1:12">
      <c r="A295" t="s">
        <v>2734</v>
      </c>
      <c r="C295" t="s">
        <v>3239</v>
      </c>
      <c r="E295" t="s">
        <v>2734</v>
      </c>
    </row>
    <row r="296" spans="1:12">
      <c r="A296" t="s">
        <v>2735</v>
      </c>
      <c r="C296" t="s">
        <v>2419</v>
      </c>
      <c r="E296" t="s">
        <v>2735</v>
      </c>
    </row>
    <row r="297" spans="1:12">
      <c r="A297" t="s">
        <v>2736</v>
      </c>
      <c r="C297" t="s">
        <v>3240</v>
      </c>
      <c r="E297" t="s">
        <v>2736</v>
      </c>
    </row>
    <row r="298" spans="1:12">
      <c r="A298" t="s">
        <v>2737</v>
      </c>
      <c r="C298" t="s">
        <v>3241</v>
      </c>
      <c r="E298" t="s">
        <v>2737</v>
      </c>
    </row>
    <row r="299" spans="1:12">
      <c r="A299" t="s">
        <v>2738</v>
      </c>
      <c r="C299" t="s">
        <v>3242</v>
      </c>
      <c r="E299" t="s">
        <v>2738</v>
      </c>
    </row>
    <row r="300" spans="1:12">
      <c r="A300" t="s">
        <v>2739</v>
      </c>
      <c r="C300" t="s">
        <v>3243</v>
      </c>
      <c r="E300" t="s">
        <v>2739</v>
      </c>
    </row>
    <row r="301" spans="1:12">
      <c r="A301" t="s">
        <v>2740</v>
      </c>
      <c r="C301" t="s">
        <v>3244</v>
      </c>
      <c r="E301" t="s">
        <v>2740</v>
      </c>
    </row>
    <row r="302" spans="1:12">
      <c r="A302" t="s">
        <v>2741</v>
      </c>
      <c r="C302" t="s">
        <v>3245</v>
      </c>
      <c r="E302" t="s">
        <v>2741</v>
      </c>
    </row>
    <row r="303" spans="1:12">
      <c r="A303" t="s">
        <v>2742</v>
      </c>
      <c r="C303" t="s">
        <v>3246</v>
      </c>
      <c r="E303" t="s">
        <v>2742</v>
      </c>
    </row>
    <row r="304" spans="1:12">
      <c r="A304" t="s">
        <v>2743</v>
      </c>
      <c r="C304" t="s">
        <v>3247</v>
      </c>
      <c r="E304" t="s">
        <v>2743</v>
      </c>
    </row>
    <row r="305" spans="1:12">
      <c r="A305" t="s">
        <v>2744</v>
      </c>
      <c r="C305" t="s">
        <v>3248</v>
      </c>
      <c r="E305" t="s">
        <v>2744</v>
      </c>
    </row>
    <row r="306" spans="1:12">
      <c r="A306" t="s">
        <v>1576</v>
      </c>
      <c r="C306" t="s">
        <v>1577</v>
      </c>
      <c r="E306" t="s">
        <v>1576</v>
      </c>
    </row>
    <row r="307" spans="1:12">
      <c r="A307" t="s">
        <v>2745</v>
      </c>
      <c r="C307" t="s">
        <v>3249</v>
      </c>
      <c r="E307" t="s">
        <v>2745</v>
      </c>
    </row>
    <row r="308" spans="1:12">
      <c r="A308" t="s">
        <v>2746</v>
      </c>
      <c r="C308" t="s">
        <v>3250</v>
      </c>
      <c r="E308" t="s">
        <v>2746</v>
      </c>
    </row>
    <row r="309" spans="1:12">
      <c r="A309" t="s">
        <v>2747</v>
      </c>
      <c r="C309" t="s">
        <v>3251</v>
      </c>
      <c r="E309" t="s">
        <v>2747</v>
      </c>
    </row>
    <row r="310" spans="1:12">
      <c r="A310" t="s">
        <v>2748</v>
      </c>
      <c r="C310" t="s">
        <v>3252</v>
      </c>
      <c r="E310" t="s">
        <v>2748</v>
      </c>
    </row>
    <row r="311" spans="1:12">
      <c r="A311" t="s">
        <v>2749</v>
      </c>
      <c r="C311" t="s">
        <v>3253</v>
      </c>
      <c r="E311" t="s">
        <v>2749</v>
      </c>
    </row>
    <row r="312" spans="1:12">
      <c r="A312" t="s">
        <v>2750</v>
      </c>
      <c r="C312" t="s">
        <v>3254</v>
      </c>
      <c r="E312" t="s">
        <v>2750</v>
      </c>
    </row>
    <row r="313" spans="1:12">
      <c r="A313" t="s">
        <v>2751</v>
      </c>
      <c r="C313" t="s">
        <v>3255</v>
      </c>
      <c r="E313" t="s">
        <v>2751</v>
      </c>
    </row>
    <row r="314" spans="1:12">
      <c r="A314" t="s">
        <v>2752</v>
      </c>
      <c r="C314" t="s">
        <v>3256</v>
      </c>
      <c r="E314" t="s">
        <v>2752</v>
      </c>
    </row>
    <row r="315" spans="1:12">
      <c r="A315" t="s">
        <v>2753</v>
      </c>
      <c r="C315" t="s">
        <v>3257</v>
      </c>
      <c r="E315" t="s">
        <v>2753</v>
      </c>
    </row>
    <row r="316" spans="1:12">
      <c r="A316" t="s">
        <v>2615</v>
      </c>
      <c r="C316" t="s">
        <v>3258</v>
      </c>
      <c r="E316" t="s">
        <v>2615</v>
      </c>
    </row>
    <row r="317" spans="1:12">
      <c r="A317" t="s">
        <v>2761</v>
      </c>
      <c r="C317" t="s">
        <v>3259</v>
      </c>
      <c r="E317" t="s">
        <v>2761</v>
      </c>
    </row>
    <row r="318" spans="1:12" s="2" customFormat="1" ht="96">
      <c r="A318" s="32" t="s">
        <v>3919</v>
      </c>
      <c r="C318" s="2" t="s">
        <v>3260</v>
      </c>
      <c r="E318" s="2" t="s">
        <v>3608</v>
      </c>
      <c r="F318" s="2" t="s">
        <v>3609</v>
      </c>
      <c r="G318" s="2" t="s">
        <v>3603</v>
      </c>
      <c r="H318" s="2" t="s">
        <v>3604</v>
      </c>
      <c r="I318" s="2" t="s">
        <v>3605</v>
      </c>
      <c r="J318" s="2" t="s">
        <v>3606</v>
      </c>
      <c r="L318" s="6" t="s">
        <v>3607</v>
      </c>
    </row>
    <row r="319" spans="1:12">
      <c r="A319" t="s">
        <v>2762</v>
      </c>
      <c r="C319" t="s">
        <v>3261</v>
      </c>
      <c r="E319" t="s">
        <v>2762</v>
      </c>
    </row>
    <row r="320" spans="1:12">
      <c r="A320" t="s">
        <v>2763</v>
      </c>
      <c r="C320" t="s">
        <v>3262</v>
      </c>
      <c r="E320" t="s">
        <v>2763</v>
      </c>
    </row>
    <row r="321" spans="1:12">
      <c r="A321" t="s">
        <v>2764</v>
      </c>
      <c r="C321" t="s">
        <v>3263</v>
      </c>
      <c r="E321" t="s">
        <v>2764</v>
      </c>
    </row>
    <row r="322" spans="1:12">
      <c r="A322" t="s">
        <v>2765</v>
      </c>
      <c r="C322" t="s">
        <v>3264</v>
      </c>
      <c r="E322" t="s">
        <v>2765</v>
      </c>
    </row>
    <row r="323" spans="1:12">
      <c r="A323" t="s">
        <v>2766</v>
      </c>
      <c r="C323" t="s">
        <v>3265</v>
      </c>
      <c r="E323" t="s">
        <v>2766</v>
      </c>
    </row>
    <row r="324" spans="1:12">
      <c r="A324" t="s">
        <v>2767</v>
      </c>
      <c r="C324" t="s">
        <v>3266</v>
      </c>
      <c r="E324" t="s">
        <v>2767</v>
      </c>
    </row>
    <row r="325" spans="1:12">
      <c r="A325" t="s">
        <v>2768</v>
      </c>
      <c r="C325" t="s">
        <v>3267</v>
      </c>
      <c r="E325" t="s">
        <v>2768</v>
      </c>
    </row>
    <row r="326" spans="1:12">
      <c r="A326" t="s">
        <v>2769</v>
      </c>
      <c r="C326" t="s">
        <v>3268</v>
      </c>
      <c r="E326" t="s">
        <v>2769</v>
      </c>
    </row>
    <row r="327" spans="1:12">
      <c r="A327" t="s">
        <v>2770</v>
      </c>
      <c r="C327" t="s">
        <v>3269</v>
      </c>
      <c r="E327" t="s">
        <v>2770</v>
      </c>
    </row>
    <row r="328" spans="1:12">
      <c r="A328" t="s">
        <v>2771</v>
      </c>
      <c r="C328" t="s">
        <v>3270</v>
      </c>
      <c r="E328" t="s">
        <v>2771</v>
      </c>
    </row>
    <row r="329" spans="1:12">
      <c r="A329" t="s">
        <v>2772</v>
      </c>
      <c r="C329" t="s">
        <v>3271</v>
      </c>
      <c r="E329" t="s">
        <v>2772</v>
      </c>
    </row>
    <row r="330" spans="1:12" s="2" customFormat="1" ht="96">
      <c r="A330" s="2" t="s">
        <v>2773</v>
      </c>
      <c r="C330" s="2" t="s">
        <v>3272</v>
      </c>
      <c r="E330" s="2" t="s">
        <v>3672</v>
      </c>
      <c r="F330" s="2" t="s">
        <v>3673</v>
      </c>
      <c r="G330" s="2" t="s">
        <v>3674</v>
      </c>
      <c r="H330" s="2" t="s">
        <v>3675</v>
      </c>
      <c r="I330" s="2" t="s">
        <v>3676</v>
      </c>
      <c r="J330" s="2" t="s">
        <v>3677</v>
      </c>
      <c r="L330" s="6" t="s">
        <v>3671</v>
      </c>
    </row>
    <row r="331" spans="1:12">
      <c r="A331" t="s">
        <v>2774</v>
      </c>
      <c r="C331" t="s">
        <v>3273</v>
      </c>
      <c r="E331" t="s">
        <v>2774</v>
      </c>
    </row>
    <row r="332" spans="1:12">
      <c r="A332" t="s">
        <v>2522</v>
      </c>
      <c r="C332" t="s">
        <v>3274</v>
      </c>
      <c r="E332" t="s">
        <v>2522</v>
      </c>
    </row>
    <row r="333" spans="1:12">
      <c r="A333" t="s">
        <v>2775</v>
      </c>
      <c r="C333" t="s">
        <v>3275</v>
      </c>
      <c r="E333" t="s">
        <v>2775</v>
      </c>
    </row>
    <row r="334" spans="1:12">
      <c r="A334" t="s">
        <v>2776</v>
      </c>
      <c r="C334" t="s">
        <v>3276</v>
      </c>
      <c r="E334" t="s">
        <v>2776</v>
      </c>
    </row>
    <row r="335" spans="1:12">
      <c r="A335" t="s">
        <v>2777</v>
      </c>
      <c r="C335" t="s">
        <v>3276</v>
      </c>
      <c r="E335" t="s">
        <v>2777</v>
      </c>
    </row>
    <row r="336" spans="1:12">
      <c r="A336" t="s">
        <v>2778</v>
      </c>
      <c r="C336" t="s">
        <v>3277</v>
      </c>
      <c r="E336" t="s">
        <v>2778</v>
      </c>
    </row>
    <row r="337" spans="1:14">
      <c r="A337" t="s">
        <v>2779</v>
      </c>
      <c r="C337" t="s">
        <v>2364</v>
      </c>
      <c r="E337" t="s">
        <v>2779</v>
      </c>
    </row>
    <row r="338" spans="1:14">
      <c r="A338" t="s">
        <v>2780</v>
      </c>
      <c r="C338" t="s">
        <v>3278</v>
      </c>
      <c r="E338" t="s">
        <v>2780</v>
      </c>
    </row>
    <row r="339" spans="1:14">
      <c r="A339" t="s">
        <v>2781</v>
      </c>
      <c r="C339" t="s">
        <v>3279</v>
      </c>
      <c r="E339" t="s">
        <v>2781</v>
      </c>
    </row>
    <row r="340" spans="1:14">
      <c r="A340" t="s">
        <v>2782</v>
      </c>
      <c r="C340" t="s">
        <v>3280</v>
      </c>
      <c r="E340" t="s">
        <v>2782</v>
      </c>
    </row>
    <row r="341" spans="1:14">
      <c r="A341" t="s">
        <v>2783</v>
      </c>
      <c r="C341" t="s">
        <v>3281</v>
      </c>
      <c r="E341" t="s">
        <v>2783</v>
      </c>
    </row>
    <row r="342" spans="1:14">
      <c r="A342" t="s">
        <v>2784</v>
      </c>
      <c r="C342" t="s">
        <v>3282</v>
      </c>
      <c r="E342" t="s">
        <v>2784</v>
      </c>
    </row>
    <row r="343" spans="1:14">
      <c r="A343" t="s">
        <v>2785</v>
      </c>
      <c r="C343" t="s">
        <v>3283</v>
      </c>
      <c r="E343" t="s">
        <v>2785</v>
      </c>
    </row>
    <row r="344" spans="1:14">
      <c r="A344" t="s">
        <v>2231</v>
      </c>
      <c r="C344" t="s">
        <v>3284</v>
      </c>
      <c r="E344" t="s">
        <v>2231</v>
      </c>
    </row>
    <row r="345" spans="1:14">
      <c r="A345" t="s">
        <v>2786</v>
      </c>
      <c r="C345" t="s">
        <v>3285</v>
      </c>
      <c r="E345" t="s">
        <v>2786</v>
      </c>
    </row>
    <row r="346" spans="1:14">
      <c r="A346" t="s">
        <v>2787</v>
      </c>
      <c r="C346" t="s">
        <v>3286</v>
      </c>
      <c r="E346" t="s">
        <v>2787</v>
      </c>
    </row>
    <row r="347" spans="1:14">
      <c r="A347" t="s">
        <v>2788</v>
      </c>
      <c r="C347" t="s">
        <v>3287</v>
      </c>
      <c r="E347" t="s">
        <v>2788</v>
      </c>
    </row>
    <row r="348" spans="1:14">
      <c r="A348" t="s">
        <v>788</v>
      </c>
      <c r="C348" t="s">
        <v>3288</v>
      </c>
      <c r="E348" t="s">
        <v>788</v>
      </c>
    </row>
    <row r="349" spans="1:14">
      <c r="A349" t="s">
        <v>2789</v>
      </c>
      <c r="C349" t="s">
        <v>2477</v>
      </c>
      <c r="E349" t="s">
        <v>2789</v>
      </c>
    </row>
    <row r="350" spans="1:14">
      <c r="A350" t="s">
        <v>2790</v>
      </c>
      <c r="C350" t="s">
        <v>3289</v>
      </c>
      <c r="E350" t="s">
        <v>2790</v>
      </c>
    </row>
    <row r="351" spans="1:14" s="2" customFormat="1" ht="128">
      <c r="A351" s="32" t="s">
        <v>2809</v>
      </c>
      <c r="C351" s="2" t="s">
        <v>2804</v>
      </c>
      <c r="E351" s="2" t="s">
        <v>2806</v>
      </c>
      <c r="G351" s="2" t="s">
        <v>2801</v>
      </c>
      <c r="H351" s="2" t="s">
        <v>2802</v>
      </c>
      <c r="I351" s="2" t="s">
        <v>2803</v>
      </c>
      <c r="J351" s="2" t="s">
        <v>2805</v>
      </c>
      <c r="L351" s="6" t="s">
        <v>2808</v>
      </c>
      <c r="N351" s="2" t="s">
        <v>2807</v>
      </c>
    </row>
    <row r="352" spans="1:14" s="2" customFormat="1" ht="128">
      <c r="A352" s="2" t="s">
        <v>2791</v>
      </c>
      <c r="C352" s="2" t="s">
        <v>2791</v>
      </c>
      <c r="E352" s="2" t="s">
        <v>3170</v>
      </c>
      <c r="F352" s="2" t="s">
        <v>3171</v>
      </c>
      <c r="G352" s="2" t="s">
        <v>3166</v>
      </c>
      <c r="H352" s="2" t="s">
        <v>3167</v>
      </c>
      <c r="I352" s="2" t="s">
        <v>3168</v>
      </c>
      <c r="J352" s="2" t="s">
        <v>3169</v>
      </c>
      <c r="L352" s="6" t="s">
        <v>3165</v>
      </c>
    </row>
    <row r="353" spans="1:12">
      <c r="A353" t="s">
        <v>2792</v>
      </c>
      <c r="C353" t="s">
        <v>3172</v>
      </c>
      <c r="E353" t="s">
        <v>2792</v>
      </c>
    </row>
    <row r="354" spans="1:12">
      <c r="A354" t="s">
        <v>2793</v>
      </c>
      <c r="C354" t="s">
        <v>3173</v>
      </c>
      <c r="E354" t="s">
        <v>2793</v>
      </c>
    </row>
    <row r="355" spans="1:12">
      <c r="A355" t="s">
        <v>2794</v>
      </c>
      <c r="C355" t="s">
        <v>3174</v>
      </c>
      <c r="E355" t="s">
        <v>2794</v>
      </c>
    </row>
    <row r="356" spans="1:12">
      <c r="A356" t="s">
        <v>2795</v>
      </c>
      <c r="C356" t="s">
        <v>3175</v>
      </c>
      <c r="E356" t="s">
        <v>2795</v>
      </c>
    </row>
    <row r="357" spans="1:12" s="2" customFormat="1" ht="160">
      <c r="A357" s="2" t="s">
        <v>2796</v>
      </c>
      <c r="C357" s="2" t="s">
        <v>3176</v>
      </c>
      <c r="E357" s="2" t="s">
        <v>3470</v>
      </c>
      <c r="F357" s="2" t="s">
        <v>3469</v>
      </c>
      <c r="G357" s="2" t="s">
        <v>3472</v>
      </c>
      <c r="H357" s="2" t="s">
        <v>3473</v>
      </c>
      <c r="I357" s="2" t="s">
        <v>3474</v>
      </c>
      <c r="J357" s="2" t="s">
        <v>3475</v>
      </c>
      <c r="L357" s="6" t="s">
        <v>3471</v>
      </c>
    </row>
    <row r="358" spans="1:12">
      <c r="A358" t="s">
        <v>470</v>
      </c>
      <c r="C358" t="s">
        <v>3177</v>
      </c>
      <c r="E358" t="s">
        <v>470</v>
      </c>
    </row>
    <row r="359" spans="1:12" s="2" customFormat="1" ht="96">
      <c r="A359" s="2" t="s">
        <v>2797</v>
      </c>
      <c r="C359" s="2" t="s">
        <v>2429</v>
      </c>
      <c r="E359" s="2" t="s">
        <v>3601</v>
      </c>
      <c r="F359" s="2" t="s">
        <v>3602</v>
      </c>
      <c r="G359" s="2" t="s">
        <v>3596</v>
      </c>
      <c r="H359" s="2" t="s">
        <v>3597</v>
      </c>
      <c r="I359" s="2" t="s">
        <v>3598</v>
      </c>
      <c r="J359" s="2" t="s">
        <v>3599</v>
      </c>
      <c r="L359" s="6" t="s">
        <v>3600</v>
      </c>
    </row>
    <row r="360" spans="1:12" s="2" customFormat="1" ht="112">
      <c r="A360" s="2" t="s">
        <v>2798</v>
      </c>
      <c r="C360" s="2" t="s">
        <v>3178</v>
      </c>
      <c r="E360" s="2" t="s">
        <v>3514</v>
      </c>
      <c r="F360" s="2" t="s">
        <v>3520</v>
      </c>
      <c r="G360" s="2" t="s">
        <v>3516</v>
      </c>
      <c r="H360" s="2" t="s">
        <v>3517</v>
      </c>
      <c r="I360" s="2" t="s">
        <v>3518</v>
      </c>
      <c r="J360" s="2" t="s">
        <v>3519</v>
      </c>
      <c r="L360" s="6" t="s">
        <v>3515</v>
      </c>
    </row>
    <row r="361" spans="1:12">
      <c r="A361" t="s">
        <v>2799</v>
      </c>
      <c r="C361" t="s">
        <v>3179</v>
      </c>
      <c r="E361" t="s">
        <v>2799</v>
      </c>
    </row>
    <row r="362" spans="1:12">
      <c r="A362" t="s">
        <v>2800</v>
      </c>
      <c r="C362" t="s">
        <v>3180</v>
      </c>
      <c r="E362" t="s">
        <v>2800</v>
      </c>
    </row>
    <row r="363" spans="1:12">
      <c r="A363" t="s">
        <v>2631</v>
      </c>
      <c r="C363" t="s">
        <v>3181</v>
      </c>
      <c r="E363" t="s">
        <v>2631</v>
      </c>
    </row>
    <row r="364" spans="1:12">
      <c r="A364" t="s">
        <v>2632</v>
      </c>
      <c r="C364" t="s">
        <v>3182</v>
      </c>
      <c r="E364" t="s">
        <v>2632</v>
      </c>
    </row>
    <row r="365" spans="1:12" s="2" customFormat="1" ht="160">
      <c r="A365" s="2" t="s">
        <v>2633</v>
      </c>
      <c r="C365" s="2" t="s">
        <v>3183</v>
      </c>
      <c r="E365" s="2" t="s">
        <v>3694</v>
      </c>
      <c r="F365" s="2" t="s">
        <v>3693</v>
      </c>
      <c r="G365" s="2" t="s">
        <v>3689</v>
      </c>
      <c r="H365" s="2" t="s">
        <v>3690</v>
      </c>
      <c r="I365" s="2" t="s">
        <v>3691</v>
      </c>
      <c r="J365" s="2" t="s">
        <v>3692</v>
      </c>
      <c r="L365" s="6" t="s">
        <v>3688</v>
      </c>
    </row>
    <row r="366" spans="1:12">
      <c r="A366" t="s">
        <v>2634</v>
      </c>
      <c r="C366" t="s">
        <v>3184</v>
      </c>
      <c r="E366" t="s">
        <v>2634</v>
      </c>
    </row>
    <row r="367" spans="1:12">
      <c r="A367" t="s">
        <v>2635</v>
      </c>
      <c r="C367" t="s">
        <v>3185</v>
      </c>
      <c r="E367" t="s">
        <v>2635</v>
      </c>
    </row>
    <row r="368" spans="1:12">
      <c r="A368" t="s">
        <v>2636</v>
      </c>
      <c r="C368" t="s">
        <v>3186</v>
      </c>
      <c r="E368" t="s">
        <v>2636</v>
      </c>
    </row>
    <row r="369" spans="1:12" s="2" customFormat="1" ht="176">
      <c r="A369" s="2" t="s">
        <v>2637</v>
      </c>
      <c r="C369" s="2" t="s">
        <v>3187</v>
      </c>
      <c r="E369" s="2" t="s">
        <v>3657</v>
      </c>
      <c r="F369" s="6" t="s">
        <v>3670</v>
      </c>
      <c r="G369" s="2" t="s">
        <v>3658</v>
      </c>
      <c r="H369" s="2" t="s">
        <v>3659</v>
      </c>
      <c r="I369" s="2" t="s">
        <v>3660</v>
      </c>
      <c r="J369" s="2" t="s">
        <v>3661</v>
      </c>
      <c r="L369" s="6" t="s">
        <v>3662</v>
      </c>
    </row>
    <row r="370" spans="1:12">
      <c r="A370" t="s">
        <v>2638</v>
      </c>
      <c r="C370" t="s">
        <v>3188</v>
      </c>
      <c r="E370" t="s">
        <v>2638</v>
      </c>
    </row>
    <row r="371" spans="1:12">
      <c r="A371" t="s">
        <v>2639</v>
      </c>
      <c r="C371" t="s">
        <v>3189</v>
      </c>
      <c r="E371" t="s">
        <v>2639</v>
      </c>
    </row>
    <row r="372" spans="1:12">
      <c r="A372" t="s">
        <v>2640</v>
      </c>
      <c r="C372" t="s">
        <v>3190</v>
      </c>
      <c r="E372" t="s">
        <v>2640</v>
      </c>
    </row>
    <row r="373" spans="1:12">
      <c r="A373" t="s">
        <v>2641</v>
      </c>
      <c r="C373" t="s">
        <v>3191</v>
      </c>
      <c r="E373" t="s">
        <v>2641</v>
      </c>
    </row>
    <row r="374" spans="1:12">
      <c r="A374" t="s">
        <v>2642</v>
      </c>
      <c r="C374" t="s">
        <v>3192</v>
      </c>
      <c r="E374" t="s">
        <v>2642</v>
      </c>
    </row>
    <row r="375" spans="1:12">
      <c r="A375" t="s">
        <v>2643</v>
      </c>
      <c r="C375" t="s">
        <v>3193</v>
      </c>
      <c r="E375" t="s">
        <v>2643</v>
      </c>
    </row>
    <row r="376" spans="1:12">
      <c r="A376" t="s">
        <v>2644</v>
      </c>
      <c r="C376" t="s">
        <v>3194</v>
      </c>
      <c r="E376" t="s">
        <v>2644</v>
      </c>
    </row>
    <row r="377" spans="1:12">
      <c r="A377" t="s">
        <v>2645</v>
      </c>
      <c r="C377" t="s">
        <v>3195</v>
      </c>
      <c r="E377" t="s">
        <v>2645</v>
      </c>
    </row>
    <row r="378" spans="1:12">
      <c r="A378" t="s">
        <v>2646</v>
      </c>
      <c r="C378" t="s">
        <v>3196</v>
      </c>
      <c r="E378" t="s">
        <v>2646</v>
      </c>
    </row>
    <row r="379" spans="1:12">
      <c r="A379" t="s">
        <v>2647</v>
      </c>
      <c r="C379" t="s">
        <v>3197</v>
      </c>
      <c r="E379" t="s">
        <v>2647</v>
      </c>
    </row>
    <row r="380" spans="1:12">
      <c r="A380" t="s">
        <v>2648</v>
      </c>
      <c r="C380" t="s">
        <v>3198</v>
      </c>
      <c r="E380" t="s">
        <v>2648</v>
      </c>
    </row>
    <row r="381" spans="1:12">
      <c r="A381" t="s">
        <v>2649</v>
      </c>
      <c r="C381" t="s">
        <v>3199</v>
      </c>
      <c r="E381" t="s">
        <v>2649</v>
      </c>
    </row>
    <row r="382" spans="1:12">
      <c r="A382" t="s">
        <v>2650</v>
      </c>
      <c r="C382" t="s">
        <v>3200</v>
      </c>
      <c r="E382" t="s">
        <v>2650</v>
      </c>
    </row>
    <row r="383" spans="1:12">
      <c r="A383" t="s">
        <v>2651</v>
      </c>
      <c r="C383" t="s">
        <v>913</v>
      </c>
      <c r="E383" t="s">
        <v>2651</v>
      </c>
    </row>
    <row r="384" spans="1:12">
      <c r="A384" t="s">
        <v>2653</v>
      </c>
      <c r="C384" t="s">
        <v>3201</v>
      </c>
      <c r="E384" t="s">
        <v>2653</v>
      </c>
    </row>
    <row r="385" spans="1:16">
      <c r="A385" t="s">
        <v>2652</v>
      </c>
      <c r="C385" t="s">
        <v>3202</v>
      </c>
      <c r="E385" t="s">
        <v>2652</v>
      </c>
    </row>
    <row r="386" spans="1:16">
      <c r="A386" t="s">
        <v>2654</v>
      </c>
      <c r="C386" t="s">
        <v>3203</v>
      </c>
      <c r="E386" t="s">
        <v>2654</v>
      </c>
    </row>
    <row r="387" spans="1:16">
      <c r="A387" t="s">
        <v>2655</v>
      </c>
      <c r="C387" t="s">
        <v>3204</v>
      </c>
      <c r="E387" t="s">
        <v>2655</v>
      </c>
    </row>
    <row r="388" spans="1:16" ht="96">
      <c r="A388" s="33" t="s">
        <v>3632</v>
      </c>
      <c r="C388" t="s">
        <v>3205</v>
      </c>
      <c r="E388" t="s">
        <v>3633</v>
      </c>
      <c r="G388" t="s">
        <v>3635</v>
      </c>
      <c r="H388" t="s">
        <v>3636</v>
      </c>
      <c r="I388" t="s">
        <v>3637</v>
      </c>
      <c r="J388" t="s">
        <v>3638</v>
      </c>
      <c r="L388" s="18" t="s">
        <v>3634</v>
      </c>
    </row>
    <row r="389" spans="1:16" s="2" customFormat="1" ht="160">
      <c r="A389" s="2" t="s">
        <v>2656</v>
      </c>
      <c r="C389" s="2" t="s">
        <v>3206</v>
      </c>
      <c r="E389" s="2" t="s">
        <v>3685</v>
      </c>
      <c r="F389" s="2" t="s">
        <v>3683</v>
      </c>
      <c r="G389" s="2" t="s">
        <v>3678</v>
      </c>
      <c r="H389" s="2" t="s">
        <v>3679</v>
      </c>
      <c r="I389" s="2" t="s">
        <v>3680</v>
      </c>
      <c r="J389" s="2" t="s">
        <v>3681</v>
      </c>
      <c r="L389" s="6" t="s">
        <v>3682</v>
      </c>
      <c r="N389" s="2" t="s">
        <v>3684</v>
      </c>
      <c r="O389" s="2" t="s">
        <v>3686</v>
      </c>
      <c r="P389" s="2" t="s">
        <v>3687</v>
      </c>
    </row>
    <row r="390" spans="1:16">
      <c r="A390" t="s">
        <v>2657</v>
      </c>
      <c r="C390" t="s">
        <v>3207</v>
      </c>
      <c r="E390" t="s">
        <v>2657</v>
      </c>
    </row>
    <row r="391" spans="1:16" s="2" customFormat="1" ht="96">
      <c r="A391" s="2" t="s">
        <v>3649</v>
      </c>
      <c r="C391" s="2" t="s">
        <v>3208</v>
      </c>
      <c r="E391" s="2" t="s">
        <v>3654</v>
      </c>
      <c r="F391" s="6" t="s">
        <v>3656</v>
      </c>
      <c r="G391" s="2" t="s">
        <v>3650</v>
      </c>
      <c r="H391" s="2" t="s">
        <v>3651</v>
      </c>
      <c r="I391" s="2" t="s">
        <v>3652</v>
      </c>
      <c r="J391" s="2" t="s">
        <v>3653</v>
      </c>
      <c r="L391" s="6" t="s">
        <v>3655</v>
      </c>
    </row>
    <row r="392" spans="1:16">
      <c r="A392" t="s">
        <v>2658</v>
      </c>
      <c r="C392" t="s">
        <v>3209</v>
      </c>
      <c r="E392" t="s">
        <v>2658</v>
      </c>
    </row>
    <row r="393" spans="1:16">
      <c r="A393" t="s">
        <v>2659</v>
      </c>
      <c r="C393" t="s">
        <v>3210</v>
      </c>
      <c r="E393" t="s">
        <v>2659</v>
      </c>
    </row>
    <row r="394" spans="1:16">
      <c r="A394" t="s">
        <v>2660</v>
      </c>
      <c r="C394" t="s">
        <v>3211</v>
      </c>
      <c r="E394" t="s">
        <v>2660</v>
      </c>
    </row>
    <row r="395" spans="1:16">
      <c r="A395" t="s">
        <v>2661</v>
      </c>
      <c r="C395" t="s">
        <v>3212</v>
      </c>
      <c r="E395" t="s">
        <v>2661</v>
      </c>
    </row>
    <row r="396" spans="1:16">
      <c r="A396" t="s">
        <v>2662</v>
      </c>
      <c r="C396" t="s">
        <v>3213</v>
      </c>
      <c r="E396" t="s">
        <v>2662</v>
      </c>
    </row>
    <row r="397" spans="1:16">
      <c r="A397" t="s">
        <v>2663</v>
      </c>
      <c r="C397" t="s">
        <v>3214</v>
      </c>
      <c r="E397" t="s">
        <v>2663</v>
      </c>
    </row>
    <row r="398" spans="1:16">
      <c r="A398" t="s">
        <v>2664</v>
      </c>
      <c r="C398" t="s">
        <v>3215</v>
      </c>
      <c r="E398" t="s">
        <v>2664</v>
      </c>
    </row>
    <row r="399" spans="1:16">
      <c r="A399" t="s">
        <v>2665</v>
      </c>
      <c r="C399" t="s">
        <v>3216</v>
      </c>
      <c r="E399" t="s">
        <v>2665</v>
      </c>
    </row>
    <row r="400" spans="1:16">
      <c r="A400" t="s">
        <v>2666</v>
      </c>
      <c r="C400" t="s">
        <v>3217</v>
      </c>
      <c r="E400" t="s">
        <v>2666</v>
      </c>
    </row>
    <row r="401" spans="1:12" s="2" customFormat="1" ht="64">
      <c r="A401" s="2" t="s">
        <v>2667</v>
      </c>
      <c r="C401" s="2" t="s">
        <v>3218</v>
      </c>
      <c r="E401" s="2" t="s">
        <v>3921</v>
      </c>
      <c r="F401" s="6" t="s">
        <v>3922</v>
      </c>
      <c r="G401" s="2" t="s">
        <v>3639</v>
      </c>
      <c r="H401" s="2" t="s">
        <v>3640</v>
      </c>
      <c r="I401" s="2" t="s">
        <v>3641</v>
      </c>
      <c r="J401" s="2" t="s">
        <v>3642</v>
      </c>
      <c r="L401" s="6" t="s">
        <v>3920</v>
      </c>
    </row>
    <row r="402" spans="1:12">
      <c r="A402" t="s">
        <v>2668</v>
      </c>
      <c r="C402" t="s">
        <v>3219</v>
      </c>
    </row>
    <row r="403" spans="1:12" s="2" customFormat="1">
      <c r="A403" s="2" t="s">
        <v>2828</v>
      </c>
      <c r="C403" s="2" t="s">
        <v>3220</v>
      </c>
      <c r="E403" s="2" t="s">
        <v>3647</v>
      </c>
      <c r="F403" s="2" t="s">
        <v>3648</v>
      </c>
      <c r="G403" s="2" t="s">
        <v>3643</v>
      </c>
      <c r="H403" s="2" t="s">
        <v>3644</v>
      </c>
      <c r="I403" s="2" t="s">
        <v>3645</v>
      </c>
      <c r="J403" s="2" t="s">
        <v>3646</v>
      </c>
    </row>
    <row r="404" spans="1:12">
      <c r="A404" t="s">
        <v>2829</v>
      </c>
      <c r="C404" t="s">
        <v>2483</v>
      </c>
      <c r="E404" t="s">
        <v>2829</v>
      </c>
    </row>
    <row r="405" spans="1:12">
      <c r="A405" t="s">
        <v>2830</v>
      </c>
      <c r="C405" t="s">
        <v>3221</v>
      </c>
      <c r="E405" t="s">
        <v>2830</v>
      </c>
    </row>
    <row r="406" spans="1:12">
      <c r="A406" t="s">
        <v>2831</v>
      </c>
      <c r="C406" t="s">
        <v>3222</v>
      </c>
      <c r="E406" t="s">
        <v>2831</v>
      </c>
    </row>
    <row r="407" spans="1:12">
      <c r="A407" t="s">
        <v>2832</v>
      </c>
      <c r="C407" t="s">
        <v>3223</v>
      </c>
      <c r="E407" t="s">
        <v>2832</v>
      </c>
    </row>
    <row r="408" spans="1:12">
      <c r="A408" t="s">
        <v>2833</v>
      </c>
      <c r="C408" t="s">
        <v>3224</v>
      </c>
      <c r="E408" t="s">
        <v>2833</v>
      </c>
    </row>
    <row r="409" spans="1:12">
      <c r="A409" t="s">
        <v>2542</v>
      </c>
      <c r="C409" t="s">
        <v>2543</v>
      </c>
      <c r="E409" t="s">
        <v>2542</v>
      </c>
    </row>
    <row r="410" spans="1:12">
      <c r="A410" t="s">
        <v>2834</v>
      </c>
      <c r="C410" t="s">
        <v>3225</v>
      </c>
      <c r="E410" t="s">
        <v>2834</v>
      </c>
    </row>
    <row r="411" spans="1:12">
      <c r="A411" t="s">
        <v>2835</v>
      </c>
      <c r="C411" t="s">
        <v>3226</v>
      </c>
      <c r="E411" t="s">
        <v>2835</v>
      </c>
    </row>
    <row r="412" spans="1:12">
      <c r="A412" t="s">
        <v>2836</v>
      </c>
      <c r="C412" t="s">
        <v>3227</v>
      </c>
      <c r="E412" t="s">
        <v>2836</v>
      </c>
    </row>
    <row r="413" spans="1:12">
      <c r="A413" t="s">
        <v>2837</v>
      </c>
      <c r="C413" t="s">
        <v>3228</v>
      </c>
      <c r="E413" t="s">
        <v>2837</v>
      </c>
    </row>
    <row r="414" spans="1:12">
      <c r="A414" t="s">
        <v>2838</v>
      </c>
      <c r="C414" t="s">
        <v>3229</v>
      </c>
      <c r="E414" t="s">
        <v>2838</v>
      </c>
    </row>
    <row r="415" spans="1:12">
      <c r="A415" t="s">
        <v>2839</v>
      </c>
      <c r="C415" t="s">
        <v>3230</v>
      </c>
      <c r="E415" t="s">
        <v>2839</v>
      </c>
    </row>
    <row r="416" spans="1:12">
      <c r="A416" t="s">
        <v>2840</v>
      </c>
      <c r="C416" t="s">
        <v>3231</v>
      </c>
      <c r="E416" t="s">
        <v>2840</v>
      </c>
    </row>
    <row r="417" spans="1:16">
      <c r="A417" t="s">
        <v>2841</v>
      </c>
      <c r="C417" t="s">
        <v>3232</v>
      </c>
      <c r="E417" t="s">
        <v>2841</v>
      </c>
    </row>
    <row r="418" spans="1:16" s="2" customFormat="1" ht="160">
      <c r="A418" s="2" t="s">
        <v>2669</v>
      </c>
      <c r="C418" s="2" t="s">
        <v>2669</v>
      </c>
      <c r="E418" s="2" t="s">
        <v>2678</v>
      </c>
      <c r="F418" s="2" t="s">
        <v>2674</v>
      </c>
      <c r="G418" s="2" t="s">
        <v>2670</v>
      </c>
      <c r="H418" s="2" t="s">
        <v>2671</v>
      </c>
      <c r="I418" s="2" t="s">
        <v>2672</v>
      </c>
      <c r="J418" s="2" t="s">
        <v>2673</v>
      </c>
      <c r="L418" s="6" t="s">
        <v>2679</v>
      </c>
      <c r="N418" s="2" t="s">
        <v>2675</v>
      </c>
      <c r="O418" s="2" t="s">
        <v>2676</v>
      </c>
      <c r="P418" s="2" t="s">
        <v>2677</v>
      </c>
    </row>
    <row r="419" spans="1:16">
      <c r="A419" t="s">
        <v>2842</v>
      </c>
      <c r="C419" t="s">
        <v>3858</v>
      </c>
      <c r="E419" t="s">
        <v>2842</v>
      </c>
    </row>
    <row r="420" spans="1:16">
      <c r="A420" t="s">
        <v>2843</v>
      </c>
      <c r="C420" t="s">
        <v>3859</v>
      </c>
      <c r="E420" t="s">
        <v>2843</v>
      </c>
    </row>
    <row r="421" spans="1:16">
      <c r="A421" t="s">
        <v>2844</v>
      </c>
      <c r="C421" t="s">
        <v>3860</v>
      </c>
      <c r="E421" t="s">
        <v>2844</v>
      </c>
    </row>
    <row r="422" spans="1:16" s="2" customFormat="1" ht="96">
      <c r="A422" s="2" t="s">
        <v>2845</v>
      </c>
      <c r="C422" s="2" t="s">
        <v>1039</v>
      </c>
      <c r="E422" s="2" t="s">
        <v>2850</v>
      </c>
      <c r="G422" s="2" t="s">
        <v>2846</v>
      </c>
      <c r="H422" s="2" t="s">
        <v>2847</v>
      </c>
      <c r="I422" s="2" t="s">
        <v>2848</v>
      </c>
      <c r="J422" s="2" t="s">
        <v>2852</v>
      </c>
      <c r="L422" s="6" t="s">
        <v>2849</v>
      </c>
    </row>
  </sheetData>
  <phoneticPr fontId="1" type="noConversion"/>
  <conditionalFormatting sqref="A54">
    <cfRule type="duplicateValues" dxfId="87" priority="1"/>
    <cfRule type="duplicateValues" dxfId="86" priority="2"/>
    <cfRule type="duplicateValues" dxfId="85" priority="3"/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2A993-CAF0-40E7-BAA1-F5AEE8C23D98}">
  <dimension ref="A1:N71"/>
  <sheetViews>
    <sheetView workbookViewId="0">
      <selection activeCell="A23" sqref="A23:XFD23"/>
    </sheetView>
  </sheetViews>
  <sheetFormatPr baseColWidth="10" defaultColWidth="8.83203125" defaultRowHeight="15"/>
  <sheetData>
    <row r="1" spans="1:13" ht="18" customHeight="1">
      <c r="A1" t="s">
        <v>2352</v>
      </c>
      <c r="K1" s="2"/>
      <c r="M1" s="2"/>
    </row>
    <row r="2" spans="1:13" ht="18" customHeight="1">
      <c r="A2" s="1" t="s">
        <v>2353</v>
      </c>
      <c r="C2" s="1" t="s">
        <v>2354</v>
      </c>
      <c r="K2" s="2"/>
      <c r="M2" s="2"/>
    </row>
    <row r="3" spans="1:13" ht="18" customHeight="1">
      <c r="A3" s="1" t="s">
        <v>2355</v>
      </c>
      <c r="C3" s="1" t="s">
        <v>2356</v>
      </c>
      <c r="K3" s="2"/>
      <c r="M3" s="2"/>
    </row>
    <row r="4" spans="1:13" ht="18" customHeight="1">
      <c r="A4" t="s">
        <v>2357</v>
      </c>
      <c r="C4" s="1" t="s">
        <v>2358</v>
      </c>
      <c r="K4" s="2"/>
      <c r="M4" s="2"/>
    </row>
    <row r="5" spans="1:13" ht="18" customHeight="1">
      <c r="A5" t="s">
        <v>2359</v>
      </c>
      <c r="C5" s="1" t="s">
        <v>2360</v>
      </c>
      <c r="K5" s="2"/>
      <c r="M5" s="2"/>
    </row>
    <row r="6" spans="1:13" ht="18" customHeight="1">
      <c r="A6" s="1" t="s">
        <v>2361</v>
      </c>
      <c r="C6" s="1" t="s">
        <v>2362</v>
      </c>
      <c r="K6" s="2"/>
      <c r="M6" s="2"/>
    </row>
    <row r="7" spans="1:13" ht="18" customHeight="1">
      <c r="A7" s="1" t="s">
        <v>2363</v>
      </c>
      <c r="C7" s="1" t="s">
        <v>2364</v>
      </c>
      <c r="E7" t="s">
        <v>2365</v>
      </c>
      <c r="K7" s="2"/>
      <c r="M7" s="2"/>
    </row>
    <row r="8" spans="1:13" ht="18" customHeight="1">
      <c r="A8" s="1" t="s">
        <v>2366</v>
      </c>
      <c r="C8" s="1" t="s">
        <v>2367</v>
      </c>
      <c r="K8" s="2"/>
      <c r="M8" s="2"/>
    </row>
    <row r="9" spans="1:13" ht="18" customHeight="1">
      <c r="A9" t="s">
        <v>2368</v>
      </c>
      <c r="C9" s="1" t="s">
        <v>2369</v>
      </c>
      <c r="E9" t="s">
        <v>2370</v>
      </c>
      <c r="K9" s="2"/>
      <c r="M9" s="2"/>
    </row>
    <row r="10" spans="1:13">
      <c r="A10" t="s">
        <v>2371</v>
      </c>
      <c r="C10" t="s">
        <v>2371</v>
      </c>
      <c r="E10" t="s">
        <v>2372</v>
      </c>
      <c r="K10" s="2"/>
      <c r="M10" s="2"/>
    </row>
    <row r="11" spans="1:13" ht="18" customHeight="1">
      <c r="A11" s="1" t="s">
        <v>2373</v>
      </c>
      <c r="C11" t="s">
        <v>2374</v>
      </c>
      <c r="D11" t="s">
        <v>2375</v>
      </c>
      <c r="E11" t="s">
        <v>2376</v>
      </c>
      <c r="K11">
        <v>0</v>
      </c>
    </row>
    <row r="12" spans="1:13" s="2" customFormat="1" ht="18" customHeight="1">
      <c r="A12" s="12" t="s">
        <v>2377</v>
      </c>
      <c r="C12" s="2" t="s">
        <v>2378</v>
      </c>
      <c r="D12" s="13" t="s">
        <v>2379</v>
      </c>
      <c r="E12" t="s">
        <v>2380</v>
      </c>
      <c r="K12">
        <v>1</v>
      </c>
    </row>
    <row r="13" spans="1:13" s="2" customFormat="1" ht="18" customHeight="1">
      <c r="A13" s="8" t="s">
        <v>2381</v>
      </c>
      <c r="C13" s="2" t="s">
        <v>2382</v>
      </c>
      <c r="D13" s="2" t="s">
        <v>2383</v>
      </c>
      <c r="E13" s="2" t="s">
        <v>2384</v>
      </c>
      <c r="K13" s="2">
        <v>0</v>
      </c>
    </row>
    <row r="14" spans="1:13" s="2" customFormat="1" ht="18" customHeight="1">
      <c r="A14" s="8" t="s">
        <v>2385</v>
      </c>
      <c r="C14" s="2" t="s">
        <v>2386</v>
      </c>
      <c r="D14" s="2" t="s">
        <v>2387</v>
      </c>
      <c r="E14" s="2" t="s">
        <v>2388</v>
      </c>
      <c r="K14" s="2">
        <v>1</v>
      </c>
    </row>
    <row r="15" spans="1:13" ht="18" customHeight="1">
      <c r="A15" s="1" t="s">
        <v>2389</v>
      </c>
      <c r="C15" t="s">
        <v>2390</v>
      </c>
      <c r="D15" t="s">
        <v>2391</v>
      </c>
      <c r="E15" t="s">
        <v>2392</v>
      </c>
      <c r="K15">
        <v>0</v>
      </c>
    </row>
    <row r="16" spans="1:13" ht="18" customHeight="1">
      <c r="A16" s="1" t="s">
        <v>2393</v>
      </c>
      <c r="C16" t="s">
        <v>2394</v>
      </c>
      <c r="D16" t="s">
        <v>2395</v>
      </c>
      <c r="E16" t="s">
        <v>2396</v>
      </c>
      <c r="K16">
        <v>0</v>
      </c>
    </row>
    <row r="17" spans="1:11" s="2" customFormat="1" ht="18" customHeight="1">
      <c r="A17" s="8" t="s">
        <v>2397</v>
      </c>
      <c r="C17" s="2" t="s">
        <v>2398</v>
      </c>
      <c r="D17" s="2" t="s">
        <v>2399</v>
      </c>
      <c r="E17" s="2" t="s">
        <v>2400</v>
      </c>
      <c r="K17">
        <v>0</v>
      </c>
    </row>
    <row r="18" spans="1:11" ht="18" customHeight="1">
      <c r="A18" s="1" t="s">
        <v>2401</v>
      </c>
      <c r="C18" t="s">
        <v>2402</v>
      </c>
      <c r="D18" t="s">
        <v>2403</v>
      </c>
      <c r="E18" t="s">
        <v>2404</v>
      </c>
      <c r="K18">
        <v>0</v>
      </c>
    </row>
    <row r="19" spans="1:11" s="2" customFormat="1" ht="18" customHeight="1">
      <c r="A19" s="8" t="s">
        <v>2405</v>
      </c>
      <c r="C19" s="2" t="s">
        <v>2406</v>
      </c>
      <c r="D19" s="2" t="s">
        <v>2407</v>
      </c>
      <c r="E19" t="s">
        <v>2408</v>
      </c>
      <c r="K19">
        <v>0</v>
      </c>
    </row>
    <row r="20" spans="1:11" ht="18" customHeight="1">
      <c r="A20" s="1" t="s">
        <v>2409</v>
      </c>
      <c r="C20" t="s">
        <v>2410</v>
      </c>
      <c r="D20" t="s">
        <v>2411</v>
      </c>
      <c r="E20" t="s">
        <v>2412</v>
      </c>
      <c r="K20">
        <v>0</v>
      </c>
    </row>
    <row r="21" spans="1:11" s="2" customFormat="1" ht="18" customHeight="1">
      <c r="A21" s="8" t="s">
        <v>2413</v>
      </c>
      <c r="C21" s="2" t="s">
        <v>2414</v>
      </c>
      <c r="D21" s="2" t="s">
        <v>2415</v>
      </c>
      <c r="E21" s="2" t="s">
        <v>2416</v>
      </c>
      <c r="K21" s="2">
        <v>1</v>
      </c>
    </row>
    <row r="22" spans="1:11" ht="18" customHeight="1">
      <c r="A22" s="1" t="s">
        <v>2417</v>
      </c>
      <c r="C22" t="s">
        <v>2418</v>
      </c>
      <c r="D22" t="s">
        <v>2419</v>
      </c>
      <c r="E22" t="s">
        <v>2420</v>
      </c>
      <c r="K22">
        <v>0</v>
      </c>
    </row>
    <row r="23" spans="1:11" s="2" customFormat="1" ht="18" customHeight="1">
      <c r="A23" s="12"/>
      <c r="D23" s="13"/>
      <c r="K23"/>
    </row>
    <row r="24" spans="1:11" s="2" customFormat="1" ht="18" customHeight="1">
      <c r="A24" s="12" t="s">
        <v>2421</v>
      </c>
      <c r="C24" s="2" t="s">
        <v>2422</v>
      </c>
      <c r="D24" s="13" t="s">
        <v>2423</v>
      </c>
      <c r="E24" s="2" t="s">
        <v>2424</v>
      </c>
      <c r="K24">
        <v>0</v>
      </c>
    </row>
    <row r="25" spans="1:11" ht="18" customHeight="1">
      <c r="A25" s="1" t="s">
        <v>2425</v>
      </c>
      <c r="C25" t="s">
        <v>2426</v>
      </c>
      <c r="D25" t="s">
        <v>2427</v>
      </c>
      <c r="E25" t="s">
        <v>2428</v>
      </c>
      <c r="K25">
        <v>1</v>
      </c>
    </row>
    <row r="26" spans="1:11" ht="18" customHeight="1">
      <c r="A26" s="1" t="s">
        <v>2429</v>
      </c>
      <c r="C26" s="1" t="s">
        <v>2429</v>
      </c>
      <c r="D26" s="1" t="s">
        <v>2429</v>
      </c>
      <c r="E26" t="s">
        <v>2430</v>
      </c>
      <c r="K26">
        <v>0</v>
      </c>
    </row>
    <row r="27" spans="1:11" ht="18" customHeight="1">
      <c r="A27" s="1" t="s">
        <v>2431</v>
      </c>
      <c r="C27" t="s">
        <v>2432</v>
      </c>
      <c r="D27" t="s">
        <v>2433</v>
      </c>
      <c r="E27" t="s">
        <v>2434</v>
      </c>
      <c r="K27">
        <v>1</v>
      </c>
    </row>
    <row r="28" spans="1:11" ht="18" customHeight="1">
      <c r="A28" s="1" t="s">
        <v>2435</v>
      </c>
      <c r="C28" s="1" t="s">
        <v>2435</v>
      </c>
      <c r="D28" s="1" t="s">
        <v>2435</v>
      </c>
      <c r="E28" t="s">
        <v>2436</v>
      </c>
      <c r="K28">
        <v>0</v>
      </c>
    </row>
    <row r="29" spans="1:11" s="2" customFormat="1" ht="18" customHeight="1">
      <c r="A29" s="8" t="s">
        <v>2437</v>
      </c>
      <c r="K29">
        <v>0</v>
      </c>
    </row>
    <row r="30" spans="1:11" ht="18" customHeight="1">
      <c r="A30" s="1" t="s">
        <v>2438</v>
      </c>
      <c r="C30" t="s">
        <v>2439</v>
      </c>
      <c r="D30" t="s">
        <v>2440</v>
      </c>
      <c r="E30" t="s">
        <v>2441</v>
      </c>
      <c r="K30">
        <v>0</v>
      </c>
    </row>
    <row r="31" spans="1:11" ht="18" customHeight="1">
      <c r="A31" s="1"/>
    </row>
    <row r="32" spans="1:11" ht="18" customHeight="1">
      <c r="A32" s="10"/>
      <c r="C32" s="14"/>
      <c r="H32" s="1"/>
    </row>
    <row r="33" spans="1:11" ht="18" customHeight="1">
      <c r="A33" s="1" t="s">
        <v>2444</v>
      </c>
      <c r="C33" t="s">
        <v>2445</v>
      </c>
      <c r="D33" t="s">
        <v>2445</v>
      </c>
      <c r="E33" t="s">
        <v>2446</v>
      </c>
      <c r="K33">
        <v>0</v>
      </c>
    </row>
    <row r="34" spans="1:11" ht="18" customHeight="1">
      <c r="A34" s="1" t="s">
        <v>2447</v>
      </c>
      <c r="C34" t="s">
        <v>2448</v>
      </c>
      <c r="D34" t="s">
        <v>2449</v>
      </c>
      <c r="E34" t="s">
        <v>2450</v>
      </c>
      <c r="K34">
        <v>1</v>
      </c>
    </row>
    <row r="35" spans="1:11" ht="18" customHeight="1">
      <c r="A35" s="1" t="s">
        <v>2451</v>
      </c>
      <c r="C35" t="s">
        <v>2452</v>
      </c>
      <c r="D35" t="s">
        <v>2452</v>
      </c>
      <c r="E35" t="s">
        <v>2453</v>
      </c>
      <c r="K35">
        <v>0</v>
      </c>
    </row>
    <row r="36" spans="1:11" ht="18" customHeight="1">
      <c r="A36" s="1" t="s">
        <v>2454</v>
      </c>
      <c r="C36" t="s">
        <v>2455</v>
      </c>
      <c r="D36" t="s">
        <v>2456</v>
      </c>
      <c r="E36" t="s">
        <v>2457</v>
      </c>
      <c r="K36">
        <v>0</v>
      </c>
    </row>
    <row r="37" spans="1:11" ht="18" customHeight="1">
      <c r="A37" s="1" t="s">
        <v>2458</v>
      </c>
      <c r="C37" t="s">
        <v>2458</v>
      </c>
      <c r="D37" t="s">
        <v>2458</v>
      </c>
      <c r="E37" t="s">
        <v>2459</v>
      </c>
      <c r="K37">
        <v>0</v>
      </c>
    </row>
    <row r="38" spans="1:11" s="2" customFormat="1" ht="18" customHeight="1">
      <c r="A38" s="8" t="s">
        <v>2460</v>
      </c>
      <c r="C38" s="2" t="s">
        <v>2461</v>
      </c>
      <c r="D38" s="15" t="s">
        <v>2462</v>
      </c>
      <c r="E38" s="2" t="s">
        <v>2463</v>
      </c>
      <c r="K38">
        <v>0</v>
      </c>
    </row>
    <row r="39" spans="1:11" ht="18" customHeight="1">
      <c r="A39" s="1" t="s">
        <v>2464</v>
      </c>
      <c r="C39" t="s">
        <v>2465</v>
      </c>
      <c r="D39" t="s">
        <v>2466</v>
      </c>
      <c r="E39" t="s">
        <v>2467</v>
      </c>
      <c r="K39">
        <v>1</v>
      </c>
    </row>
    <row r="40" spans="1:11" ht="18" customHeight="1">
      <c r="A40" s="1" t="s">
        <v>2468</v>
      </c>
      <c r="C40" t="s">
        <v>2469</v>
      </c>
      <c r="D40" t="s">
        <v>2469</v>
      </c>
      <c r="E40" t="s">
        <v>2470</v>
      </c>
      <c r="K40">
        <v>0</v>
      </c>
    </row>
    <row r="41" spans="1:11" ht="18" customHeight="1">
      <c r="A41" s="1" t="s">
        <v>2471</v>
      </c>
      <c r="C41" t="s">
        <v>2472</v>
      </c>
      <c r="D41" t="s">
        <v>2472</v>
      </c>
      <c r="E41" t="s">
        <v>2473</v>
      </c>
      <c r="K41">
        <v>0</v>
      </c>
    </row>
    <row r="42" spans="1:11" s="2" customFormat="1" ht="18" customHeight="1">
      <c r="A42" s="12" t="s">
        <v>2474</v>
      </c>
      <c r="C42" s="13" t="s">
        <v>2475</v>
      </c>
      <c r="D42" s="13" t="s">
        <v>2475</v>
      </c>
      <c r="E42" s="2" t="s">
        <v>2474</v>
      </c>
      <c r="K42">
        <v>1</v>
      </c>
    </row>
    <row r="43" spans="1:11" ht="18" customHeight="1">
      <c r="A43" s="1" t="s">
        <v>2476</v>
      </c>
      <c r="C43" t="s">
        <v>2477</v>
      </c>
      <c r="D43" t="s">
        <v>2477</v>
      </c>
      <c r="E43" t="s">
        <v>2478</v>
      </c>
      <c r="K43">
        <v>1</v>
      </c>
    </row>
    <row r="44" spans="1:11" ht="18" customHeight="1">
      <c r="A44" s="1" t="s">
        <v>2479</v>
      </c>
      <c r="C44" t="s">
        <v>2480</v>
      </c>
      <c r="D44" t="s">
        <v>2480</v>
      </c>
      <c r="E44" t="s">
        <v>2481</v>
      </c>
      <c r="K44">
        <v>1</v>
      </c>
    </row>
    <row r="45" spans="1:11" ht="18" customHeight="1">
      <c r="A45" s="1" t="s">
        <v>2482</v>
      </c>
      <c r="C45" t="s">
        <v>2483</v>
      </c>
      <c r="D45" t="s">
        <v>2483</v>
      </c>
      <c r="E45" t="s">
        <v>2484</v>
      </c>
      <c r="K45">
        <v>1</v>
      </c>
    </row>
    <row r="46" spans="1:11" ht="18" customHeight="1">
      <c r="A46" t="s">
        <v>2810</v>
      </c>
      <c r="C46" s="1" t="s">
        <v>2485</v>
      </c>
    </row>
    <row r="47" spans="1:11" ht="18" customHeight="1">
      <c r="A47" s="1" t="s">
        <v>2486</v>
      </c>
      <c r="C47" t="s">
        <v>2487</v>
      </c>
    </row>
    <row r="48" spans="1:11" s="2" customFormat="1" ht="18" customHeight="1">
      <c r="A48" s="8" t="s">
        <v>2488</v>
      </c>
      <c r="C48" s="2" t="s">
        <v>2489</v>
      </c>
    </row>
    <row r="49" spans="1:11" ht="18" customHeight="1">
      <c r="A49" s="1" t="s">
        <v>2490</v>
      </c>
      <c r="C49" s="1" t="s">
        <v>2491</v>
      </c>
    </row>
    <row r="50" spans="1:11" ht="18.5" customHeight="1">
      <c r="A50" s="1" t="s">
        <v>2492</v>
      </c>
      <c r="C50" s="1" t="s">
        <v>2492</v>
      </c>
      <c r="E50" t="s">
        <v>2493</v>
      </c>
    </row>
    <row r="51" spans="1:11" ht="18" customHeight="1">
      <c r="A51" s="1" t="s">
        <v>2494</v>
      </c>
    </row>
    <row r="52" spans="1:11" ht="18" customHeight="1">
      <c r="A52" s="1" t="s">
        <v>2495</v>
      </c>
    </row>
    <row r="53" spans="1:11" ht="18" customHeight="1">
      <c r="A53" s="1" t="s">
        <v>2496</v>
      </c>
    </row>
    <row r="54" spans="1:11" ht="18" customHeight="1">
      <c r="A54" s="1" t="s">
        <v>2497</v>
      </c>
    </row>
    <row r="55" spans="1:11" ht="18" customHeight="1">
      <c r="A55" s="1" t="s">
        <v>2498</v>
      </c>
    </row>
    <row r="56" spans="1:11" ht="18" customHeight="1">
      <c r="A56" s="1" t="s">
        <v>2499</v>
      </c>
    </row>
    <row r="57" spans="1:11" ht="18" customHeight="1">
      <c r="A57" s="1" t="s">
        <v>2500</v>
      </c>
      <c r="C57" s="1" t="s">
        <v>2501</v>
      </c>
    </row>
    <row r="58" spans="1:11" ht="18" customHeight="1">
      <c r="A58" s="1" t="s">
        <v>2851</v>
      </c>
      <c r="C58" t="s">
        <v>2502</v>
      </c>
    </row>
    <row r="63" spans="1:11" s="2" customFormat="1" ht="18" customHeight="1">
      <c r="A63" s="8" t="s">
        <v>2503</v>
      </c>
      <c r="C63" s="2" t="s">
        <v>2504</v>
      </c>
      <c r="D63" s="2" t="s">
        <v>2505</v>
      </c>
      <c r="E63" s="2" t="s">
        <v>2506</v>
      </c>
      <c r="K63" s="2">
        <v>1</v>
      </c>
    </row>
    <row r="64" spans="1:11" ht="18" customHeight="1">
      <c r="A64" s="1"/>
    </row>
    <row r="66" spans="1:14" ht="18" customHeight="1">
      <c r="A66" s="1" t="s">
        <v>2511</v>
      </c>
      <c r="B66" t="s">
        <v>2512</v>
      </c>
      <c r="C66" t="s">
        <v>2512</v>
      </c>
      <c r="E66" t="s">
        <v>2513</v>
      </c>
      <c r="F66" t="s">
        <v>2514</v>
      </c>
      <c r="G66" t="s">
        <v>2515</v>
      </c>
      <c r="H66" t="s">
        <v>2516</v>
      </c>
      <c r="I66" t="s">
        <v>2517</v>
      </c>
      <c r="J66" t="s">
        <v>2518</v>
      </c>
      <c r="K66" s="2">
        <v>0</v>
      </c>
      <c r="L66" s="18" t="s">
        <v>2519</v>
      </c>
      <c r="M66" s="2"/>
      <c r="N66" t="s">
        <v>2520</v>
      </c>
    </row>
    <row r="67" spans="1:14">
      <c r="K67" s="2"/>
      <c r="M67" s="2"/>
    </row>
    <row r="68" spans="1:14" s="2" customFormat="1" ht="18" customHeight="1">
      <c r="A68" s="12" t="s">
        <v>2521</v>
      </c>
      <c r="B68" s="2" t="s">
        <v>2522</v>
      </c>
      <c r="C68" s="2" t="s">
        <v>2522</v>
      </c>
      <c r="D68" s="13"/>
      <c r="E68" s="2" t="s">
        <v>2523</v>
      </c>
      <c r="G68" s="2" t="s">
        <v>2524</v>
      </c>
      <c r="H68" s="2" t="s">
        <v>2525</v>
      </c>
      <c r="I68" s="2" t="s">
        <v>2526</v>
      </c>
      <c r="J68" s="2" t="s">
        <v>2527</v>
      </c>
      <c r="K68">
        <v>1</v>
      </c>
      <c r="L68" s="6" t="s">
        <v>2528</v>
      </c>
      <c r="N68" s="2" t="s">
        <v>2529</v>
      </c>
    </row>
    <row r="69" spans="1:14" s="2" customFormat="1" ht="18" customHeight="1">
      <c r="A69" s="8"/>
    </row>
    <row r="70" spans="1:14" ht="18" customHeight="1">
      <c r="A70" s="1" t="s">
        <v>2532</v>
      </c>
      <c r="B70" t="s">
        <v>2533</v>
      </c>
      <c r="C70" s="1" t="s">
        <v>2534</v>
      </c>
      <c r="E70" t="s">
        <v>2535</v>
      </c>
      <c r="G70" t="s">
        <v>2536</v>
      </c>
      <c r="H70" t="s">
        <v>2537</v>
      </c>
      <c r="I70" t="s">
        <v>2538</v>
      </c>
      <c r="J70" t="s">
        <v>2539</v>
      </c>
      <c r="K70" s="2"/>
      <c r="L70" s="18" t="s">
        <v>2540</v>
      </c>
      <c r="M70" s="2"/>
      <c r="N70" t="s">
        <v>2541</v>
      </c>
    </row>
    <row r="71" spans="1:14" s="2" customFormat="1" ht="18" customHeight="1">
      <c r="A71" s="8" t="s">
        <v>2542</v>
      </c>
      <c r="B71" s="2" t="s">
        <v>2543</v>
      </c>
      <c r="C71" s="2" t="s">
        <v>2543</v>
      </c>
      <c r="D71" s="13"/>
      <c r="E71" s="2" t="s">
        <v>2544</v>
      </c>
      <c r="F71" s="2" t="s">
        <v>2545</v>
      </c>
      <c r="G71" s="2" t="s">
        <v>2546</v>
      </c>
      <c r="H71" s="2" t="s">
        <v>2547</v>
      </c>
      <c r="I71" s="2" t="s">
        <v>2548</v>
      </c>
      <c r="J71" s="2" t="s">
        <v>2549</v>
      </c>
      <c r="K71">
        <v>0</v>
      </c>
      <c r="L71" s="6" t="s">
        <v>2550</v>
      </c>
      <c r="N71" s="2" t="s">
        <v>2551</v>
      </c>
    </row>
  </sheetData>
  <phoneticPr fontId="1" type="noConversion"/>
  <conditionalFormatting sqref="A1:A45">
    <cfRule type="duplicateValues" dxfId="84" priority="45"/>
    <cfRule type="duplicateValues" dxfId="83" priority="49"/>
    <cfRule type="duplicateValues" dxfId="82" priority="50"/>
  </conditionalFormatting>
  <conditionalFormatting sqref="A46:A58">
    <cfRule type="duplicateValues" dxfId="81" priority="97"/>
  </conditionalFormatting>
  <conditionalFormatting sqref="A63">
    <cfRule type="duplicateValues" dxfId="80" priority="4"/>
    <cfRule type="duplicateValues" dxfId="79" priority="5"/>
    <cfRule type="duplicateValues" dxfId="78" priority="6"/>
  </conditionalFormatting>
  <conditionalFormatting sqref="A64">
    <cfRule type="duplicateValues" dxfId="77" priority="1"/>
    <cfRule type="duplicateValues" dxfId="76" priority="2"/>
    <cfRule type="duplicateValues" dxfId="75" priority="3"/>
  </conditionalFormatting>
  <conditionalFormatting sqref="A66">
    <cfRule type="duplicateValues" dxfId="74" priority="14"/>
    <cfRule type="duplicateValues" dxfId="73" priority="15"/>
    <cfRule type="duplicateValues" dxfId="72" priority="16"/>
  </conditionalFormatting>
  <conditionalFormatting sqref="A68">
    <cfRule type="duplicateValues" dxfId="71" priority="10"/>
    <cfRule type="duplicateValues" dxfId="70" priority="11"/>
    <cfRule type="duplicateValues" dxfId="69" priority="12"/>
  </conditionalFormatting>
  <conditionalFormatting sqref="A69">
    <cfRule type="duplicateValues" dxfId="68" priority="20"/>
    <cfRule type="duplicateValues" dxfId="67" priority="21"/>
    <cfRule type="duplicateValues" dxfId="66" priority="22"/>
  </conditionalFormatting>
  <conditionalFormatting sqref="A70">
    <cfRule type="duplicateValues" dxfId="65" priority="13"/>
  </conditionalFormatting>
  <conditionalFormatting sqref="A71">
    <cfRule type="duplicateValues" dxfId="64" priority="7"/>
    <cfRule type="duplicateValues" dxfId="63" priority="8"/>
    <cfRule type="duplicateValues" dxfId="62" priority="9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8"/>
  <sheetViews>
    <sheetView topLeftCell="A32" zoomScaleNormal="100" workbookViewId="0">
      <selection activeCell="I10" sqref="I10"/>
    </sheetView>
  </sheetViews>
  <sheetFormatPr baseColWidth="10" defaultColWidth="8.83203125" defaultRowHeight="15"/>
  <cols>
    <col min="1" max="1" width="16.6640625" customWidth="1"/>
    <col min="2" max="2" width="17.5" customWidth="1"/>
    <col min="5" max="5" width="20.1640625" customWidth="1"/>
    <col min="6" max="6" width="33.83203125" customWidth="1"/>
    <col min="11" max="11" width="8.6640625" style="2"/>
    <col min="12" max="12" width="41" customWidth="1"/>
    <col min="13" max="13" width="8.6640625" style="2"/>
  </cols>
  <sheetData>
    <row r="1" spans="1:15" ht="18" customHeight="1">
      <c r="A1" s="1" t="s">
        <v>3</v>
      </c>
      <c r="B1" t="s">
        <v>4</v>
      </c>
      <c r="C1" t="s">
        <v>4</v>
      </c>
      <c r="E1" t="s">
        <v>5</v>
      </c>
    </row>
    <row r="2" spans="1:15" ht="18" customHeight="1">
      <c r="A2" s="1" t="s">
        <v>6</v>
      </c>
      <c r="B2" t="s">
        <v>7</v>
      </c>
      <c r="C2" t="s">
        <v>7</v>
      </c>
      <c r="E2" t="s">
        <v>8</v>
      </c>
      <c r="K2" s="2">
        <v>0</v>
      </c>
    </row>
    <row r="3" spans="1:15" ht="18" customHeight="1">
      <c r="A3" s="1" t="s">
        <v>9</v>
      </c>
      <c r="B3" t="s">
        <v>10</v>
      </c>
      <c r="C3" t="s">
        <v>10</v>
      </c>
      <c r="E3" t="s">
        <v>11</v>
      </c>
    </row>
    <row r="4" spans="1:15" s="2" customFormat="1" ht="18" customHeight="1">
      <c r="A4" s="8" t="s">
        <v>3944</v>
      </c>
      <c r="B4" s="2" t="s">
        <v>12</v>
      </c>
      <c r="C4" s="2" t="s">
        <v>12</v>
      </c>
      <c r="E4" s="2" t="s">
        <v>13</v>
      </c>
      <c r="F4" s="6" t="s">
        <v>3949</v>
      </c>
      <c r="G4" s="2" t="s">
        <v>3945</v>
      </c>
      <c r="H4" s="2" t="s">
        <v>3946</v>
      </c>
      <c r="I4" s="8" t="s">
        <v>3947</v>
      </c>
      <c r="J4" s="2" t="s">
        <v>3948</v>
      </c>
      <c r="K4" s="2">
        <v>1</v>
      </c>
    </row>
    <row r="5" spans="1:15" s="2" customFormat="1" ht="18" customHeight="1">
      <c r="A5" s="8" t="s">
        <v>14</v>
      </c>
      <c r="B5" s="2" t="s">
        <v>15</v>
      </c>
      <c r="C5" s="2" t="s">
        <v>15</v>
      </c>
      <c r="E5" s="2" t="s">
        <v>16</v>
      </c>
      <c r="G5" s="2" t="s">
        <v>17</v>
      </c>
      <c r="H5" s="2" t="s">
        <v>18</v>
      </c>
      <c r="I5" s="9" t="s">
        <v>19</v>
      </c>
      <c r="K5" s="2">
        <v>1</v>
      </c>
    </row>
    <row r="6" spans="1:15" ht="18">
      <c r="A6" s="10" t="s">
        <v>20</v>
      </c>
      <c r="B6" s="10" t="s">
        <v>21</v>
      </c>
      <c r="C6" s="10" t="s">
        <v>21</v>
      </c>
      <c r="E6" t="s">
        <v>22</v>
      </c>
      <c r="G6" t="s">
        <v>23</v>
      </c>
      <c r="H6" s="1" t="s">
        <v>24</v>
      </c>
      <c r="I6" t="s">
        <v>25</v>
      </c>
    </row>
    <row r="7" spans="1:15" s="2" customFormat="1" ht="18" customHeight="1">
      <c r="A7" s="8" t="s">
        <v>26</v>
      </c>
      <c r="B7" s="2" t="s">
        <v>27</v>
      </c>
      <c r="C7" s="2" t="s">
        <v>27</v>
      </c>
      <c r="E7" s="2" t="s">
        <v>28</v>
      </c>
      <c r="F7" s="2" t="s">
        <v>29</v>
      </c>
      <c r="G7" s="2" t="s">
        <v>30</v>
      </c>
      <c r="H7" s="2" t="s">
        <v>31</v>
      </c>
      <c r="I7" s="2" t="s">
        <v>32</v>
      </c>
      <c r="J7" s="2" t="s">
        <v>33</v>
      </c>
      <c r="K7" s="2">
        <v>1</v>
      </c>
      <c r="L7" s="6" t="s">
        <v>34</v>
      </c>
      <c r="N7" s="2" t="s">
        <v>35</v>
      </c>
      <c r="O7" s="2" t="s">
        <v>36</v>
      </c>
    </row>
    <row r="8" spans="1:15" ht="18" customHeight="1">
      <c r="A8" s="10" t="s">
        <v>37</v>
      </c>
      <c r="B8" s="4" t="s">
        <v>38</v>
      </c>
      <c r="C8" s="4" t="s">
        <v>38</v>
      </c>
      <c r="E8" t="s">
        <v>39</v>
      </c>
      <c r="K8">
        <v>0</v>
      </c>
      <c r="M8"/>
    </row>
    <row r="9" spans="1:15" ht="18" customHeight="1">
      <c r="A9" s="1" t="s">
        <v>40</v>
      </c>
      <c r="B9" t="s">
        <v>41</v>
      </c>
      <c r="C9" t="s">
        <v>41</v>
      </c>
      <c r="E9" t="s">
        <v>42</v>
      </c>
    </row>
    <row r="10" spans="1:15" ht="18" customHeight="1">
      <c r="A10" s="1" t="s">
        <v>43</v>
      </c>
      <c r="B10" t="s">
        <v>44</v>
      </c>
      <c r="C10" t="s">
        <v>44</v>
      </c>
      <c r="E10" t="s">
        <v>45</v>
      </c>
      <c r="K10" s="2">
        <v>0</v>
      </c>
    </row>
    <row r="11" spans="1:15" ht="18" customHeight="1">
      <c r="A11" s="1" t="s">
        <v>46</v>
      </c>
      <c r="B11" t="s">
        <v>47</v>
      </c>
      <c r="C11" t="s">
        <v>47</v>
      </c>
      <c r="E11" t="s">
        <v>48</v>
      </c>
      <c r="K11" s="2">
        <v>1</v>
      </c>
    </row>
    <row r="12" spans="1:15" ht="18" customHeight="1">
      <c r="A12" t="s">
        <v>49</v>
      </c>
      <c r="B12" s="1" t="s">
        <v>50</v>
      </c>
      <c r="C12" s="1" t="s">
        <v>50</v>
      </c>
      <c r="E12" t="s">
        <v>51</v>
      </c>
      <c r="G12" s="1" t="s">
        <v>52</v>
      </c>
    </row>
    <row r="13" spans="1:15" ht="18" customHeight="1">
      <c r="A13" s="1" t="s">
        <v>53</v>
      </c>
      <c r="B13" s="1" t="s">
        <v>54</v>
      </c>
      <c r="C13" s="1" t="s">
        <v>54</v>
      </c>
      <c r="E13" t="s">
        <v>55</v>
      </c>
    </row>
    <row r="14" spans="1:15" s="2" customFormat="1" ht="18" customHeight="1">
      <c r="A14" s="8" t="s">
        <v>3903</v>
      </c>
      <c r="B14" s="2" t="s">
        <v>56</v>
      </c>
      <c r="C14" s="2" t="s">
        <v>56</v>
      </c>
      <c r="E14" s="9" t="s">
        <v>3907</v>
      </c>
      <c r="F14" s="2" t="s">
        <v>3904</v>
      </c>
      <c r="G14" s="2" t="s">
        <v>57</v>
      </c>
      <c r="H14" s="2" t="s">
        <v>58</v>
      </c>
      <c r="I14" s="2" t="s">
        <v>59</v>
      </c>
      <c r="J14" s="2" t="s">
        <v>3906</v>
      </c>
      <c r="K14" s="2">
        <v>1</v>
      </c>
      <c r="L14" s="6" t="s">
        <v>3905</v>
      </c>
    </row>
    <row r="15" spans="1:15" ht="18" customHeight="1">
      <c r="A15" s="1" t="s">
        <v>60</v>
      </c>
      <c r="B15" t="s">
        <v>61</v>
      </c>
      <c r="C15" t="s">
        <v>61</v>
      </c>
      <c r="E15" t="s">
        <v>62</v>
      </c>
    </row>
    <row r="16" spans="1:15" ht="18" customHeight="1">
      <c r="A16" s="1" t="s">
        <v>63</v>
      </c>
      <c r="B16" s="1" t="s">
        <v>63</v>
      </c>
      <c r="C16" s="1" t="s">
        <v>63</v>
      </c>
      <c r="E16" t="s">
        <v>64</v>
      </c>
      <c r="G16" t="s">
        <v>65</v>
      </c>
      <c r="H16" t="s">
        <v>66</v>
      </c>
      <c r="I16" s="5" t="s">
        <v>67</v>
      </c>
    </row>
    <row r="17" spans="1:15" s="2" customFormat="1" ht="18" customHeight="1">
      <c r="A17" s="8" t="s">
        <v>68</v>
      </c>
      <c r="B17" s="8" t="s">
        <v>69</v>
      </c>
      <c r="C17" s="8" t="s">
        <v>69</v>
      </c>
      <c r="E17" s="2" t="s">
        <v>70</v>
      </c>
      <c r="F17" s="2" t="s">
        <v>71</v>
      </c>
      <c r="G17" s="2" t="s">
        <v>72</v>
      </c>
      <c r="H17" s="2" t="s">
        <v>73</v>
      </c>
      <c r="I17" s="2" t="s">
        <v>74</v>
      </c>
      <c r="J17" s="2" t="s">
        <v>75</v>
      </c>
      <c r="L17" s="6" t="s">
        <v>76</v>
      </c>
      <c r="N17" s="2" t="s">
        <v>77</v>
      </c>
      <c r="O17" s="2" t="s">
        <v>78</v>
      </c>
    </row>
    <row r="18" spans="1:15" ht="18" customHeight="1">
      <c r="A18" t="s">
        <v>79</v>
      </c>
      <c r="B18" s="1" t="s">
        <v>80</v>
      </c>
      <c r="C18" s="1" t="s">
        <v>80</v>
      </c>
      <c r="E18" t="s">
        <v>81</v>
      </c>
      <c r="G18" t="s">
        <v>82</v>
      </c>
      <c r="H18" t="s">
        <v>83</v>
      </c>
      <c r="I18" t="s">
        <v>84</v>
      </c>
      <c r="J18" t="s">
        <v>85</v>
      </c>
    </row>
    <row r="19" spans="1:15" ht="18" customHeight="1">
      <c r="A19" t="s">
        <v>86</v>
      </c>
      <c r="B19" s="1" t="s">
        <v>87</v>
      </c>
      <c r="C19" s="1" t="s">
        <v>87</v>
      </c>
      <c r="E19" t="s">
        <v>88</v>
      </c>
      <c r="G19" s="5" t="s">
        <v>89</v>
      </c>
      <c r="H19" t="s">
        <v>90</v>
      </c>
    </row>
    <row r="20" spans="1:15" ht="18" customHeight="1">
      <c r="A20" s="1" t="s">
        <v>91</v>
      </c>
      <c r="B20" s="1" t="s">
        <v>92</v>
      </c>
      <c r="C20" s="1" t="s">
        <v>92</v>
      </c>
      <c r="E20" t="s">
        <v>93</v>
      </c>
    </row>
    <row r="21" spans="1:15" ht="18" customHeight="1">
      <c r="A21" s="1" t="s">
        <v>94</v>
      </c>
      <c r="B21" s="1" t="s">
        <v>95</v>
      </c>
      <c r="C21" s="1" t="s">
        <v>95</v>
      </c>
      <c r="E21" t="s">
        <v>96</v>
      </c>
    </row>
    <row r="22" spans="1:15" ht="18" customHeight="1">
      <c r="A22" s="1" t="s">
        <v>97</v>
      </c>
      <c r="B22" s="1" t="s">
        <v>98</v>
      </c>
      <c r="C22" s="1" t="s">
        <v>98</v>
      </c>
      <c r="E22" t="s">
        <v>99</v>
      </c>
    </row>
    <row r="23" spans="1:15" ht="18" customHeight="1">
      <c r="A23" s="1" t="s">
        <v>100</v>
      </c>
      <c r="B23" s="1" t="s">
        <v>101</v>
      </c>
      <c r="C23" s="1" t="s">
        <v>101</v>
      </c>
      <c r="E23" t="s">
        <v>102</v>
      </c>
    </row>
    <row r="24" spans="1:15" ht="18" customHeight="1">
      <c r="A24" s="1" t="s">
        <v>103</v>
      </c>
      <c r="B24" s="1" t="s">
        <v>104</v>
      </c>
      <c r="C24" s="1" t="s">
        <v>104</v>
      </c>
      <c r="E24" t="s">
        <v>105</v>
      </c>
    </row>
    <row r="25" spans="1:15" s="2" customFormat="1" ht="18" customHeight="1">
      <c r="A25" s="8" t="s">
        <v>106</v>
      </c>
      <c r="B25" s="8" t="s">
        <v>107</v>
      </c>
      <c r="C25" s="8" t="s">
        <v>107</v>
      </c>
      <c r="E25" s="2" t="s">
        <v>108</v>
      </c>
      <c r="G25" s="2" t="s">
        <v>109</v>
      </c>
      <c r="H25" s="2" t="s">
        <v>110</v>
      </c>
      <c r="I25" s="2" t="s">
        <v>111</v>
      </c>
      <c r="L25" s="2" t="s">
        <v>112</v>
      </c>
    </row>
    <row r="26" spans="1:15" ht="18" customHeight="1">
      <c r="A26" s="1" t="s">
        <v>113</v>
      </c>
      <c r="B26" s="1" t="s">
        <v>114</v>
      </c>
      <c r="C26" s="1" t="s">
        <v>114</v>
      </c>
      <c r="E26" t="s">
        <v>115</v>
      </c>
    </row>
    <row r="27" spans="1:15" s="2" customFormat="1" ht="18" customHeight="1">
      <c r="A27" s="8" t="s">
        <v>116</v>
      </c>
      <c r="B27" s="8" t="s">
        <v>117</v>
      </c>
      <c r="C27" s="8" t="s">
        <v>117</v>
      </c>
      <c r="E27" s="2" t="s">
        <v>118</v>
      </c>
      <c r="F27" s="2" t="s">
        <v>119</v>
      </c>
      <c r="G27" s="2" t="s">
        <v>120</v>
      </c>
      <c r="H27" s="2" t="s">
        <v>121</v>
      </c>
      <c r="I27" s="2" t="s">
        <v>122</v>
      </c>
      <c r="J27" s="2" t="s">
        <v>123</v>
      </c>
      <c r="L27" s="2" t="s">
        <v>124</v>
      </c>
      <c r="N27" s="2" t="s">
        <v>125</v>
      </c>
    </row>
    <row r="28" spans="1:15" ht="18">
      <c r="A28" s="1" t="s">
        <v>126</v>
      </c>
      <c r="B28" s="1" t="s">
        <v>127</v>
      </c>
      <c r="C28" s="1" t="s">
        <v>127</v>
      </c>
      <c r="E28" t="s">
        <v>128</v>
      </c>
      <c r="F28" s="1" t="s">
        <v>129</v>
      </c>
      <c r="G28" t="s">
        <v>130</v>
      </c>
      <c r="H28" t="s">
        <v>131</v>
      </c>
      <c r="I28" t="s">
        <v>132</v>
      </c>
      <c r="L28" t="s">
        <v>133</v>
      </c>
    </row>
    <row r="29" spans="1:15" ht="18">
      <c r="A29" s="1" t="s">
        <v>134</v>
      </c>
      <c r="B29" s="1" t="s">
        <v>135</v>
      </c>
      <c r="C29" s="1" t="s">
        <v>135</v>
      </c>
      <c r="E29" t="s">
        <v>136</v>
      </c>
      <c r="F29" s="1"/>
    </row>
    <row r="30" spans="1:15" ht="18">
      <c r="A30" s="1" t="s">
        <v>137</v>
      </c>
      <c r="B30" s="1" t="s">
        <v>138</v>
      </c>
      <c r="C30" s="1" t="s">
        <v>138</v>
      </c>
      <c r="E30" t="s">
        <v>139</v>
      </c>
      <c r="F30" s="1"/>
    </row>
    <row r="31" spans="1:15" ht="18">
      <c r="A31" s="1" t="s">
        <v>140</v>
      </c>
      <c r="B31" t="s">
        <v>141</v>
      </c>
      <c r="C31" t="s">
        <v>141</v>
      </c>
      <c r="E31" t="s">
        <v>142</v>
      </c>
    </row>
    <row r="32" spans="1:15" ht="18">
      <c r="A32" t="s">
        <v>143</v>
      </c>
      <c r="B32" s="1" t="s">
        <v>144</v>
      </c>
      <c r="C32" s="1" t="s">
        <v>144</v>
      </c>
      <c r="E32" t="s">
        <v>145</v>
      </c>
    </row>
    <row r="33" spans="1:12" ht="18">
      <c r="A33" s="1" t="s">
        <v>146</v>
      </c>
      <c r="B33" t="s">
        <v>147</v>
      </c>
      <c r="C33" t="s">
        <v>147</v>
      </c>
      <c r="E33" t="s">
        <v>148</v>
      </c>
      <c r="F33" t="s">
        <v>149</v>
      </c>
      <c r="G33" t="s">
        <v>150</v>
      </c>
      <c r="H33" t="s">
        <v>151</v>
      </c>
      <c r="I33" t="s">
        <v>152</v>
      </c>
      <c r="J33" t="s">
        <v>153</v>
      </c>
      <c r="L33" t="s">
        <v>154</v>
      </c>
    </row>
    <row r="34" spans="1:12" s="2" customFormat="1" ht="18">
      <c r="A34" s="8" t="s">
        <v>155</v>
      </c>
      <c r="B34" s="8" t="s">
        <v>156</v>
      </c>
      <c r="C34" s="8" t="s">
        <v>156</v>
      </c>
      <c r="E34" s="2" t="s">
        <v>157</v>
      </c>
      <c r="F34" s="2" t="s">
        <v>158</v>
      </c>
      <c r="G34" s="2" t="s">
        <v>159</v>
      </c>
      <c r="H34" s="2" t="s">
        <v>160</v>
      </c>
      <c r="I34" s="2" t="s">
        <v>161</v>
      </c>
      <c r="J34" s="2" t="s">
        <v>162</v>
      </c>
      <c r="L34" s="2" t="s">
        <v>163</v>
      </c>
    </row>
    <row r="35" spans="1:12" ht="18">
      <c r="A35" s="1" t="s">
        <v>164</v>
      </c>
      <c r="B35" s="1" t="s">
        <v>165</v>
      </c>
      <c r="C35" s="1" t="s">
        <v>165</v>
      </c>
      <c r="E35" s="1" t="s">
        <v>164</v>
      </c>
    </row>
    <row r="36" spans="1:12" ht="18">
      <c r="A36" s="1" t="s">
        <v>166</v>
      </c>
      <c r="B36" t="s">
        <v>167</v>
      </c>
      <c r="C36" t="s">
        <v>167</v>
      </c>
      <c r="E36" s="1" t="s">
        <v>166</v>
      </c>
      <c r="G36" s="1" t="s">
        <v>168</v>
      </c>
      <c r="I36" s="1"/>
      <c r="K36" s="1"/>
    </row>
    <row r="37" spans="1:12" s="2" customFormat="1" ht="18">
      <c r="A37" s="8" t="s">
        <v>169</v>
      </c>
      <c r="B37" s="8" t="s">
        <v>170</v>
      </c>
      <c r="C37" s="8" t="s">
        <v>170</v>
      </c>
      <c r="E37" s="2" t="s">
        <v>171</v>
      </c>
      <c r="G37" s="2" t="s">
        <v>172</v>
      </c>
      <c r="H37" s="2" t="s">
        <v>173</v>
      </c>
      <c r="I37" s="2" t="s">
        <v>174</v>
      </c>
      <c r="J37" s="2" t="s">
        <v>175</v>
      </c>
      <c r="L37" s="2" t="s">
        <v>176</v>
      </c>
    </row>
    <row r="38" spans="1:12" ht="18">
      <c r="A38" s="1" t="s">
        <v>177</v>
      </c>
      <c r="B38" s="1" t="s">
        <v>178</v>
      </c>
      <c r="C38" s="1" t="s">
        <v>178</v>
      </c>
      <c r="E38" s="1" t="s">
        <v>177</v>
      </c>
    </row>
    <row r="39" spans="1:12">
      <c r="A39" t="s">
        <v>179</v>
      </c>
      <c r="B39" t="s">
        <v>180</v>
      </c>
      <c r="C39" t="s">
        <v>180</v>
      </c>
      <c r="E39" t="s">
        <v>179</v>
      </c>
    </row>
    <row r="40" spans="1:12" ht="18">
      <c r="A40" s="1" t="s">
        <v>181</v>
      </c>
      <c r="B40" s="1" t="s">
        <v>182</v>
      </c>
      <c r="C40" s="1" t="s">
        <v>182</v>
      </c>
      <c r="E40" s="1" t="s">
        <v>181</v>
      </c>
    </row>
    <row r="41" spans="1:12" s="2" customFormat="1" ht="18">
      <c r="A41" s="8" t="s">
        <v>183</v>
      </c>
      <c r="B41" s="8" t="s">
        <v>183</v>
      </c>
      <c r="C41" s="8" t="s">
        <v>183</v>
      </c>
      <c r="E41" s="2" t="s">
        <v>184</v>
      </c>
      <c r="G41" s="2" t="s">
        <v>185</v>
      </c>
      <c r="H41" s="2" t="s">
        <v>186</v>
      </c>
      <c r="I41" s="2" t="s">
        <v>187</v>
      </c>
      <c r="J41" s="2" t="s">
        <v>188</v>
      </c>
      <c r="L41" s="2" t="s">
        <v>189</v>
      </c>
    </row>
    <row r="42" spans="1:12" ht="18">
      <c r="A42" t="s">
        <v>190</v>
      </c>
      <c r="B42" s="1" t="s">
        <v>190</v>
      </c>
      <c r="C42" s="1" t="s">
        <v>190</v>
      </c>
      <c r="E42" t="s">
        <v>191</v>
      </c>
      <c r="F42" t="s">
        <v>192</v>
      </c>
      <c r="G42" t="s">
        <v>193</v>
      </c>
      <c r="H42" t="s">
        <v>194</v>
      </c>
      <c r="I42" t="s">
        <v>195</v>
      </c>
    </row>
    <row r="43" spans="1:12" s="2" customFormat="1" ht="18">
      <c r="A43" s="8" t="s">
        <v>196</v>
      </c>
      <c r="B43" s="2" t="s">
        <v>197</v>
      </c>
      <c r="C43" s="2" t="s">
        <v>197</v>
      </c>
      <c r="E43" s="2" t="s">
        <v>198</v>
      </c>
      <c r="G43" s="2" t="s">
        <v>199</v>
      </c>
      <c r="H43" s="2" t="s">
        <v>200</v>
      </c>
      <c r="I43" s="2" t="s">
        <v>201</v>
      </c>
      <c r="J43" s="2" t="s">
        <v>202</v>
      </c>
      <c r="L43" s="2" t="s">
        <v>203</v>
      </c>
    </row>
    <row r="44" spans="1:12" ht="18">
      <c r="A44" s="1" t="s">
        <v>204</v>
      </c>
      <c r="B44" s="1" t="s">
        <v>205</v>
      </c>
      <c r="C44" s="1" t="s">
        <v>205</v>
      </c>
      <c r="E44" t="s">
        <v>206</v>
      </c>
      <c r="F44" s="27"/>
      <c r="G44" t="s">
        <v>207</v>
      </c>
      <c r="H44" t="s">
        <v>208</v>
      </c>
      <c r="I44" t="s">
        <v>209</v>
      </c>
      <c r="J44" t="s">
        <v>210</v>
      </c>
      <c r="L44" t="s">
        <v>211</v>
      </c>
    </row>
    <row r="45" spans="1:12" ht="18">
      <c r="A45" s="1" t="s">
        <v>212</v>
      </c>
      <c r="B45" t="s">
        <v>213</v>
      </c>
      <c r="C45" t="s">
        <v>213</v>
      </c>
      <c r="E45" t="s">
        <v>214</v>
      </c>
      <c r="G45" t="s">
        <v>215</v>
      </c>
      <c r="H45" t="s">
        <v>216</v>
      </c>
      <c r="I45" t="s">
        <v>217</v>
      </c>
    </row>
    <row r="46" spans="1:12" ht="18">
      <c r="A46" s="1" t="s">
        <v>218</v>
      </c>
      <c r="B46" s="1" t="s">
        <v>219</v>
      </c>
      <c r="C46" s="1" t="s">
        <v>219</v>
      </c>
      <c r="E46" t="s">
        <v>220</v>
      </c>
    </row>
    <row r="47" spans="1:12" s="2" customFormat="1" ht="113">
      <c r="A47" s="8" t="s">
        <v>221</v>
      </c>
      <c r="B47" s="8" t="s">
        <v>222</v>
      </c>
      <c r="C47" s="8" t="s">
        <v>222</v>
      </c>
      <c r="E47" s="2" t="s">
        <v>3909</v>
      </c>
      <c r="F47" s="2" t="s">
        <v>3908</v>
      </c>
      <c r="G47" s="2" t="s">
        <v>223</v>
      </c>
      <c r="H47" s="2" t="s">
        <v>224</v>
      </c>
      <c r="I47" s="2" t="s">
        <v>3910</v>
      </c>
      <c r="J47" s="2" t="s">
        <v>225</v>
      </c>
      <c r="L47" s="6" t="s">
        <v>226</v>
      </c>
    </row>
    <row r="48" spans="1:12" s="2" customFormat="1" ht="18">
      <c r="A48" s="8" t="s">
        <v>227</v>
      </c>
      <c r="B48" s="2" t="s">
        <v>228</v>
      </c>
      <c r="C48" s="2" t="s">
        <v>228</v>
      </c>
      <c r="E48" s="2" t="s">
        <v>229</v>
      </c>
      <c r="G48" s="2" t="s">
        <v>230</v>
      </c>
      <c r="H48" s="2" t="s">
        <v>231</v>
      </c>
      <c r="I48" s="2" t="s">
        <v>232</v>
      </c>
      <c r="J48" s="2" t="s">
        <v>233</v>
      </c>
      <c r="L48" s="2" t="s">
        <v>234</v>
      </c>
    </row>
    <row r="49" spans="1:16" ht="18">
      <c r="A49" s="1" t="s">
        <v>235</v>
      </c>
      <c r="B49" t="s">
        <v>236</v>
      </c>
      <c r="C49" t="s">
        <v>236</v>
      </c>
      <c r="E49" t="s">
        <v>237</v>
      </c>
    </row>
    <row r="50" spans="1:16" s="2" customFormat="1" ht="18">
      <c r="A50" s="8" t="s">
        <v>238</v>
      </c>
      <c r="B50" s="8" t="s">
        <v>239</v>
      </c>
      <c r="C50" s="8" t="s">
        <v>239</v>
      </c>
      <c r="E50" s="2" t="s">
        <v>240</v>
      </c>
      <c r="G50" s="2" t="s">
        <v>241</v>
      </c>
      <c r="H50" s="2" t="s">
        <v>242</v>
      </c>
      <c r="I50" s="2" t="s">
        <v>243</v>
      </c>
      <c r="J50" s="2" t="s">
        <v>244</v>
      </c>
      <c r="L50" s="2" t="s">
        <v>245</v>
      </c>
      <c r="N50" s="2" t="s">
        <v>246</v>
      </c>
    </row>
    <row r="51" spans="1:16" ht="18">
      <c r="A51" s="1" t="s">
        <v>247</v>
      </c>
      <c r="B51" s="1" t="s">
        <v>248</v>
      </c>
      <c r="C51" s="1" t="s">
        <v>248</v>
      </c>
      <c r="E51" t="s">
        <v>249</v>
      </c>
      <c r="G51" t="s">
        <v>250</v>
      </c>
      <c r="H51" t="s">
        <v>251</v>
      </c>
      <c r="I51" t="s">
        <v>252</v>
      </c>
      <c r="J51" t="s">
        <v>253</v>
      </c>
      <c r="L51" t="s">
        <v>254</v>
      </c>
    </row>
    <row r="52" spans="1:16" s="2" customFormat="1" ht="18">
      <c r="A52" s="8" t="s">
        <v>255</v>
      </c>
      <c r="B52" s="2" t="s">
        <v>256</v>
      </c>
      <c r="C52" s="2" t="s">
        <v>256</v>
      </c>
      <c r="E52" s="2" t="s">
        <v>257</v>
      </c>
      <c r="G52" s="2" t="s">
        <v>258</v>
      </c>
      <c r="H52" s="2" t="s">
        <v>259</v>
      </c>
      <c r="I52" s="2" t="s">
        <v>260</v>
      </c>
      <c r="J52" s="2" t="s">
        <v>261</v>
      </c>
      <c r="L52" s="2" t="s">
        <v>262</v>
      </c>
    </row>
    <row r="53" spans="1:16" ht="18">
      <c r="A53" s="1" t="s">
        <v>263</v>
      </c>
      <c r="B53" t="s">
        <v>264</v>
      </c>
      <c r="C53" t="s">
        <v>264</v>
      </c>
      <c r="E53" s="1" t="s">
        <v>263</v>
      </c>
      <c r="G53" s="28" t="s">
        <v>265</v>
      </c>
    </row>
    <row r="54" spans="1:16" ht="18">
      <c r="A54" s="1" t="s">
        <v>266</v>
      </c>
      <c r="B54" s="1" t="s">
        <v>267</v>
      </c>
      <c r="C54" s="1" t="s">
        <v>267</v>
      </c>
      <c r="E54" t="s">
        <v>268</v>
      </c>
      <c r="G54" t="s">
        <v>269</v>
      </c>
      <c r="H54" t="s">
        <v>270</v>
      </c>
      <c r="I54" t="s">
        <v>271</v>
      </c>
      <c r="J54" t="s">
        <v>272</v>
      </c>
      <c r="L54" t="s">
        <v>273</v>
      </c>
    </row>
    <row r="55" spans="1:16" s="2" customFormat="1" ht="18">
      <c r="A55" s="8" t="s">
        <v>274</v>
      </c>
      <c r="B55" s="2" t="s">
        <v>275</v>
      </c>
      <c r="C55" s="2" t="s">
        <v>275</v>
      </c>
      <c r="E55" s="2" t="s">
        <v>276</v>
      </c>
      <c r="G55" s="8" t="s">
        <v>277</v>
      </c>
      <c r="H55" s="2" t="s">
        <v>278</v>
      </c>
      <c r="I55" s="9" t="s">
        <v>279</v>
      </c>
      <c r="J55" s="2" t="s">
        <v>280</v>
      </c>
    </row>
    <row r="56" spans="1:16" ht="18">
      <c r="A56" s="1" t="s">
        <v>281</v>
      </c>
      <c r="B56" t="s">
        <v>282</v>
      </c>
      <c r="C56" t="s">
        <v>282</v>
      </c>
      <c r="E56" t="s">
        <v>283</v>
      </c>
      <c r="P56" t="s">
        <v>3886</v>
      </c>
    </row>
    <row r="57" spans="1:16" ht="18">
      <c r="A57" s="1" t="s">
        <v>284</v>
      </c>
      <c r="B57" t="s">
        <v>285</v>
      </c>
      <c r="C57" t="s">
        <v>285</v>
      </c>
      <c r="E57" t="s">
        <v>286</v>
      </c>
      <c r="F57" t="s">
        <v>287</v>
      </c>
      <c r="G57" t="s">
        <v>288</v>
      </c>
      <c r="H57" t="s">
        <v>289</v>
      </c>
      <c r="I57" t="s">
        <v>290</v>
      </c>
      <c r="J57" t="s">
        <v>291</v>
      </c>
      <c r="L57" t="s">
        <v>292</v>
      </c>
    </row>
    <row r="58" spans="1:16" ht="18">
      <c r="A58" s="1" t="s">
        <v>293</v>
      </c>
      <c r="B58" t="s">
        <v>294</v>
      </c>
      <c r="C58" t="s">
        <v>294</v>
      </c>
      <c r="E58" t="s">
        <v>295</v>
      </c>
      <c r="F58" t="s">
        <v>296</v>
      </c>
      <c r="G58" t="s">
        <v>297</v>
      </c>
      <c r="H58" t="s">
        <v>298</v>
      </c>
      <c r="I58" t="s">
        <v>299</v>
      </c>
      <c r="J58" t="s">
        <v>300</v>
      </c>
      <c r="L58" t="s">
        <v>301</v>
      </c>
    </row>
    <row r="59" spans="1:16" s="2" customFormat="1" ht="18">
      <c r="A59" s="8" t="s">
        <v>302</v>
      </c>
      <c r="B59" s="2" t="s">
        <v>303</v>
      </c>
      <c r="C59" s="2" t="s">
        <v>303</v>
      </c>
      <c r="E59" s="2" t="s">
        <v>304</v>
      </c>
      <c r="F59" s="2" t="s">
        <v>305</v>
      </c>
      <c r="G59" s="17" t="s">
        <v>306</v>
      </c>
      <c r="H59" s="2" t="s">
        <v>307</v>
      </c>
      <c r="I59" s="2" t="s">
        <v>308</v>
      </c>
      <c r="J59" s="2" t="s">
        <v>309</v>
      </c>
      <c r="L59" s="2" t="s">
        <v>310</v>
      </c>
    </row>
    <row r="60" spans="1:16" ht="18">
      <c r="A60" s="1" t="s">
        <v>311</v>
      </c>
      <c r="B60" t="s">
        <v>312</v>
      </c>
      <c r="C60" t="s">
        <v>312</v>
      </c>
      <c r="E60" t="s">
        <v>313</v>
      </c>
      <c r="G60" t="s">
        <v>314</v>
      </c>
      <c r="H60" t="s">
        <v>315</v>
      </c>
      <c r="I60" t="s">
        <v>316</v>
      </c>
      <c r="J60" t="s">
        <v>317</v>
      </c>
      <c r="L60" t="s">
        <v>318</v>
      </c>
    </row>
    <row r="61" spans="1:16" ht="18">
      <c r="A61" s="1" t="s">
        <v>319</v>
      </c>
      <c r="B61" t="s">
        <v>320</v>
      </c>
      <c r="C61" t="s">
        <v>320</v>
      </c>
      <c r="E61" t="s">
        <v>321</v>
      </c>
      <c r="G61" t="s">
        <v>322</v>
      </c>
      <c r="H61" t="s">
        <v>323</v>
      </c>
      <c r="I61" t="s">
        <v>324</v>
      </c>
      <c r="J61" t="s">
        <v>325</v>
      </c>
      <c r="L61" t="s">
        <v>326</v>
      </c>
    </row>
    <row r="62" spans="1:16" ht="18">
      <c r="A62" s="1" t="s">
        <v>327</v>
      </c>
      <c r="B62" t="s">
        <v>328</v>
      </c>
      <c r="C62" t="s">
        <v>328</v>
      </c>
      <c r="E62" t="s">
        <v>329</v>
      </c>
      <c r="G62" t="s">
        <v>330</v>
      </c>
      <c r="H62" t="s">
        <v>331</v>
      </c>
      <c r="I62" t="s">
        <v>332</v>
      </c>
      <c r="J62" t="s">
        <v>333</v>
      </c>
      <c r="L62" t="s">
        <v>334</v>
      </c>
    </row>
    <row r="63" spans="1:16" ht="18">
      <c r="A63" s="1" t="s">
        <v>335</v>
      </c>
      <c r="B63" t="s">
        <v>336</v>
      </c>
      <c r="C63" t="s">
        <v>336</v>
      </c>
      <c r="E63" s="1" t="s">
        <v>335</v>
      </c>
    </row>
    <row r="64" spans="1:16" s="2" customFormat="1" ht="18">
      <c r="A64" s="8" t="s">
        <v>337</v>
      </c>
      <c r="B64" s="2" t="s">
        <v>338</v>
      </c>
      <c r="C64" s="2" t="s">
        <v>338</v>
      </c>
      <c r="E64" s="2" t="s">
        <v>339</v>
      </c>
      <c r="F64" s="2" t="s">
        <v>340</v>
      </c>
      <c r="G64" s="2" t="s">
        <v>341</v>
      </c>
      <c r="H64" s="2" t="s">
        <v>342</v>
      </c>
      <c r="I64" s="2" t="s">
        <v>343</v>
      </c>
      <c r="J64" s="2" t="s">
        <v>344</v>
      </c>
      <c r="L64" s="2" t="s">
        <v>345</v>
      </c>
    </row>
    <row r="65" spans="1:12" s="2" customFormat="1" ht="18">
      <c r="A65" s="8" t="s">
        <v>346</v>
      </c>
      <c r="B65" s="2" t="s">
        <v>347</v>
      </c>
      <c r="C65" s="2" t="s">
        <v>347</v>
      </c>
      <c r="E65" s="2" t="s">
        <v>348</v>
      </c>
      <c r="G65" s="2" t="s">
        <v>349</v>
      </c>
      <c r="H65" s="2" t="s">
        <v>350</v>
      </c>
      <c r="I65" s="2" t="s">
        <v>351</v>
      </c>
      <c r="J65" s="2" t="s">
        <v>352</v>
      </c>
      <c r="L65" s="2" t="s">
        <v>353</v>
      </c>
    </row>
    <row r="66" spans="1:12" s="2" customFormat="1" ht="18">
      <c r="A66" s="8" t="s">
        <v>354</v>
      </c>
      <c r="B66" s="15" t="s">
        <v>355</v>
      </c>
      <c r="C66" s="15" t="s">
        <v>355</v>
      </c>
      <c r="E66" s="2" t="s">
        <v>356</v>
      </c>
      <c r="F66" s="2" t="s">
        <v>357</v>
      </c>
      <c r="G66" s="2" t="s">
        <v>358</v>
      </c>
      <c r="H66" s="2" t="s">
        <v>359</v>
      </c>
      <c r="I66" s="2" t="s">
        <v>360</v>
      </c>
      <c r="J66" s="2" t="s">
        <v>361</v>
      </c>
      <c r="L66" s="2" t="s">
        <v>362</v>
      </c>
    </row>
    <row r="67" spans="1:12" s="2" customFormat="1" ht="18">
      <c r="A67" s="16" t="s">
        <v>363</v>
      </c>
      <c r="B67" s="15" t="s">
        <v>364</v>
      </c>
      <c r="C67" s="15" t="s">
        <v>364</v>
      </c>
      <c r="E67" s="2" t="s">
        <v>365</v>
      </c>
      <c r="F67" s="8" t="s">
        <v>366</v>
      </c>
      <c r="G67" s="2" t="s">
        <v>367</v>
      </c>
      <c r="H67" s="2" t="s">
        <v>368</v>
      </c>
      <c r="I67" s="2" t="s">
        <v>369</v>
      </c>
      <c r="J67" s="2" t="s">
        <v>370</v>
      </c>
      <c r="L67" s="2" t="s">
        <v>371</v>
      </c>
    </row>
    <row r="68" spans="1:12" ht="18">
      <c r="A68" s="1" t="s">
        <v>372</v>
      </c>
      <c r="B68" s="1" t="s">
        <v>373</v>
      </c>
      <c r="C68" s="1" t="s">
        <v>373</v>
      </c>
      <c r="E68" s="1" t="s">
        <v>372</v>
      </c>
    </row>
    <row r="69" spans="1:12" ht="18">
      <c r="A69" s="1" t="s">
        <v>374</v>
      </c>
      <c r="B69" t="s">
        <v>375</v>
      </c>
      <c r="C69" t="s">
        <v>375</v>
      </c>
      <c r="E69" t="s">
        <v>376</v>
      </c>
    </row>
    <row r="70" spans="1:12" ht="18">
      <c r="A70" s="1" t="s">
        <v>377</v>
      </c>
      <c r="B70" t="s">
        <v>378</v>
      </c>
      <c r="C70" t="s">
        <v>378</v>
      </c>
      <c r="E70" t="s">
        <v>379</v>
      </c>
      <c r="F70" t="s">
        <v>380</v>
      </c>
      <c r="G70" t="s">
        <v>381</v>
      </c>
      <c r="H70" t="s">
        <v>382</v>
      </c>
      <c r="I70" t="s">
        <v>383</v>
      </c>
      <c r="J70" t="s">
        <v>384</v>
      </c>
      <c r="L70" t="s">
        <v>385</v>
      </c>
    </row>
    <row r="71" spans="1:12" ht="18">
      <c r="A71" s="1" t="s">
        <v>386</v>
      </c>
      <c r="B71" t="s">
        <v>387</v>
      </c>
      <c r="C71" t="s">
        <v>387</v>
      </c>
      <c r="E71" t="s">
        <v>388</v>
      </c>
      <c r="F71" t="s">
        <v>389</v>
      </c>
      <c r="G71" t="s">
        <v>390</v>
      </c>
      <c r="H71" t="s">
        <v>391</v>
      </c>
      <c r="I71" t="s">
        <v>392</v>
      </c>
      <c r="J71" t="s">
        <v>393</v>
      </c>
    </row>
    <row r="72" spans="1:12" ht="18">
      <c r="A72" s="1" t="s">
        <v>394</v>
      </c>
      <c r="B72" s="1" t="s">
        <v>395</v>
      </c>
      <c r="C72" s="1" t="s">
        <v>395</v>
      </c>
      <c r="E72" t="s">
        <v>396</v>
      </c>
      <c r="F72" t="s">
        <v>397</v>
      </c>
      <c r="G72" t="s">
        <v>398</v>
      </c>
      <c r="H72" t="s">
        <v>399</v>
      </c>
      <c r="I72" t="s">
        <v>400</v>
      </c>
    </row>
    <row r="73" spans="1:12" ht="18">
      <c r="A73" s="1" t="s">
        <v>401</v>
      </c>
      <c r="B73" s="1" t="s">
        <v>402</v>
      </c>
      <c r="C73" s="1" t="s">
        <v>402</v>
      </c>
      <c r="E73" t="s">
        <v>403</v>
      </c>
    </row>
    <row r="74" spans="1:12" s="2" customFormat="1" ht="18">
      <c r="A74" s="8" t="s">
        <v>404</v>
      </c>
      <c r="B74" s="8" t="s">
        <v>405</v>
      </c>
      <c r="C74" s="8" t="s">
        <v>405</v>
      </c>
      <c r="E74" s="2" t="s">
        <v>406</v>
      </c>
      <c r="G74" s="2" t="s">
        <v>407</v>
      </c>
      <c r="H74" s="2" t="s">
        <v>408</v>
      </c>
      <c r="I74" s="2" t="s">
        <v>409</v>
      </c>
      <c r="J74" s="2" t="s">
        <v>410</v>
      </c>
      <c r="L74" s="2" t="s">
        <v>411</v>
      </c>
    </row>
    <row r="75" spans="1:12" ht="18">
      <c r="A75" s="1" t="s">
        <v>412</v>
      </c>
      <c r="B75" s="1" t="s">
        <v>413</v>
      </c>
      <c r="C75" s="1" t="s">
        <v>413</v>
      </c>
      <c r="E75" s="11" t="s">
        <v>414</v>
      </c>
      <c r="G75" t="s">
        <v>415</v>
      </c>
      <c r="H75" t="s">
        <v>416</v>
      </c>
      <c r="I75" t="s">
        <v>417</v>
      </c>
      <c r="J75" t="s">
        <v>418</v>
      </c>
      <c r="L75" t="s">
        <v>419</v>
      </c>
    </row>
    <row r="76" spans="1:12" ht="18">
      <c r="A76" s="1" t="s">
        <v>420</v>
      </c>
      <c r="B76" s="1" t="s">
        <v>421</v>
      </c>
      <c r="C76" s="1" t="s">
        <v>421</v>
      </c>
      <c r="E76" t="s">
        <v>422</v>
      </c>
      <c r="G76" t="s">
        <v>423</v>
      </c>
      <c r="H76" t="s">
        <v>424</v>
      </c>
      <c r="I76" t="s">
        <v>425</v>
      </c>
      <c r="J76" t="s">
        <v>426</v>
      </c>
      <c r="L76" t="s">
        <v>427</v>
      </c>
    </row>
    <row r="77" spans="1:12" ht="18">
      <c r="A77" s="10" t="s">
        <v>428</v>
      </c>
      <c r="B77" s="10" t="s">
        <v>429</v>
      </c>
      <c r="C77" s="10" t="s">
        <v>429</v>
      </c>
      <c r="E77" t="s">
        <v>430</v>
      </c>
      <c r="G77" t="s">
        <v>431</v>
      </c>
      <c r="H77" t="s">
        <v>432</v>
      </c>
      <c r="I77" t="s">
        <v>433</v>
      </c>
      <c r="L77" t="s">
        <v>434</v>
      </c>
    </row>
    <row r="78" spans="1:12" ht="18">
      <c r="A78" s="1" t="s">
        <v>435</v>
      </c>
      <c r="B78" s="1" t="s">
        <v>436</v>
      </c>
      <c r="C78" s="1" t="s">
        <v>436</v>
      </c>
      <c r="E78" t="s">
        <v>437</v>
      </c>
    </row>
    <row r="79" spans="1:12" ht="18">
      <c r="A79" s="1" t="s">
        <v>438</v>
      </c>
      <c r="B79" t="s">
        <v>439</v>
      </c>
      <c r="C79" t="s">
        <v>439</v>
      </c>
      <c r="E79" s="1" t="s">
        <v>438</v>
      </c>
    </row>
    <row r="80" spans="1:12" s="2" customFormat="1" ht="18">
      <c r="A80" s="8" t="s">
        <v>440</v>
      </c>
      <c r="B80" s="2" t="s">
        <v>441</v>
      </c>
      <c r="C80" s="2" t="s">
        <v>441</v>
      </c>
      <c r="E80" s="2" t="s">
        <v>442</v>
      </c>
      <c r="G80" s="2" t="s">
        <v>443</v>
      </c>
      <c r="H80" s="2" t="s">
        <v>444</v>
      </c>
      <c r="I80" s="2" t="s">
        <v>445</v>
      </c>
      <c r="L80" s="2" t="s">
        <v>446</v>
      </c>
    </row>
    <row r="81" spans="1:14" s="2" customFormat="1" ht="65">
      <c r="A81" s="8" t="s">
        <v>447</v>
      </c>
      <c r="B81" s="2" t="s">
        <v>448</v>
      </c>
      <c r="C81" s="2" t="s">
        <v>448</v>
      </c>
      <c r="E81" s="2" t="s">
        <v>3917</v>
      </c>
      <c r="F81" s="2" t="s">
        <v>3911</v>
      </c>
      <c r="G81" s="2" t="s">
        <v>3916</v>
      </c>
      <c r="H81" s="2" t="s">
        <v>3913</v>
      </c>
      <c r="I81" s="2" t="s">
        <v>3914</v>
      </c>
      <c r="J81" s="2" t="s">
        <v>3915</v>
      </c>
      <c r="L81" s="6" t="s">
        <v>3912</v>
      </c>
    </row>
    <row r="82" spans="1:14" s="2" customFormat="1" ht="129">
      <c r="A82" s="8" t="s">
        <v>2814</v>
      </c>
      <c r="B82" s="2" t="s">
        <v>449</v>
      </c>
      <c r="C82" s="2" t="s">
        <v>449</v>
      </c>
      <c r="E82" s="2" t="s">
        <v>2827</v>
      </c>
      <c r="F82" s="2" t="s">
        <v>2815</v>
      </c>
      <c r="G82" s="2" t="s">
        <v>450</v>
      </c>
      <c r="H82" s="2" t="s">
        <v>2823</v>
      </c>
      <c r="I82" s="2" t="s">
        <v>2824</v>
      </c>
      <c r="J82" s="2" t="s">
        <v>2825</v>
      </c>
      <c r="L82" s="6" t="s">
        <v>2826</v>
      </c>
    </row>
    <row r="83" spans="1:14" s="2" customFormat="1" ht="97">
      <c r="A83" s="8" t="s">
        <v>2816</v>
      </c>
      <c r="B83" s="2" t="s">
        <v>2817</v>
      </c>
      <c r="C83" s="2" t="s">
        <v>2817</v>
      </c>
      <c r="E83" s="2" t="s">
        <v>2819</v>
      </c>
      <c r="F83" s="2" t="s">
        <v>2818</v>
      </c>
      <c r="G83" s="2" t="s">
        <v>2820</v>
      </c>
      <c r="H83" s="2" t="s">
        <v>2822</v>
      </c>
      <c r="L83" s="6" t="s">
        <v>2821</v>
      </c>
    </row>
    <row r="84" spans="1:14" ht="18">
      <c r="A84" s="1" t="s">
        <v>451</v>
      </c>
      <c r="B84" t="s">
        <v>452</v>
      </c>
      <c r="C84" t="s">
        <v>452</v>
      </c>
      <c r="E84" t="s">
        <v>453</v>
      </c>
      <c r="F84" t="s">
        <v>454</v>
      </c>
    </row>
    <row r="85" spans="1:14" ht="18">
      <c r="A85" s="1" t="s">
        <v>455</v>
      </c>
      <c r="B85" s="1" t="s">
        <v>456</v>
      </c>
      <c r="C85" s="1" t="s">
        <v>456</v>
      </c>
      <c r="E85" t="s">
        <v>457</v>
      </c>
      <c r="G85" t="s">
        <v>458</v>
      </c>
      <c r="H85" t="s">
        <v>459</v>
      </c>
      <c r="I85" t="s">
        <v>460</v>
      </c>
      <c r="J85" t="s">
        <v>461</v>
      </c>
      <c r="L85" t="s">
        <v>462</v>
      </c>
    </row>
    <row r="86" spans="1:14" ht="18">
      <c r="A86" s="1" t="s">
        <v>463</v>
      </c>
      <c r="B86" t="s">
        <v>464</v>
      </c>
      <c r="C86" t="s">
        <v>464</v>
      </c>
      <c r="E86" t="s">
        <v>465</v>
      </c>
      <c r="L86" t="s">
        <v>466</v>
      </c>
    </row>
    <row r="87" spans="1:14" ht="18">
      <c r="A87" s="1" t="s">
        <v>467</v>
      </c>
      <c r="B87" s="1" t="s">
        <v>468</v>
      </c>
      <c r="C87" s="1" t="s">
        <v>468</v>
      </c>
      <c r="E87" t="s">
        <v>469</v>
      </c>
    </row>
    <row r="88" spans="1:14" ht="18">
      <c r="A88" s="1" t="s">
        <v>470</v>
      </c>
      <c r="B88" t="s">
        <v>471</v>
      </c>
      <c r="C88" t="s">
        <v>471</v>
      </c>
      <c r="E88" t="s">
        <v>472</v>
      </c>
    </row>
    <row r="89" spans="1:14" ht="18">
      <c r="A89" s="1" t="s">
        <v>473</v>
      </c>
      <c r="B89" t="s">
        <v>474</v>
      </c>
      <c r="C89" t="s">
        <v>474</v>
      </c>
      <c r="E89" t="s">
        <v>475</v>
      </c>
    </row>
    <row r="90" spans="1:14" ht="18">
      <c r="A90" s="1" t="s">
        <v>476</v>
      </c>
      <c r="B90" t="s">
        <v>477</v>
      </c>
      <c r="C90" t="s">
        <v>477</v>
      </c>
      <c r="E90" t="s">
        <v>478</v>
      </c>
    </row>
    <row r="91" spans="1:14" ht="18">
      <c r="A91" s="1" t="s">
        <v>479</v>
      </c>
      <c r="B91" s="1" t="s">
        <v>480</v>
      </c>
      <c r="C91" s="1" t="s">
        <v>480</v>
      </c>
      <c r="E91" t="s">
        <v>481</v>
      </c>
    </row>
    <row r="92" spans="1:14" ht="97">
      <c r="A92" s="39" t="s">
        <v>3896</v>
      </c>
      <c r="B92" t="s">
        <v>482</v>
      </c>
      <c r="C92" t="s">
        <v>482</v>
      </c>
      <c r="E92" t="s">
        <v>483</v>
      </c>
      <c r="F92" t="s">
        <v>3895</v>
      </c>
      <c r="G92" t="s">
        <v>484</v>
      </c>
      <c r="H92" t="s">
        <v>485</v>
      </c>
      <c r="I92" t="s">
        <v>486</v>
      </c>
      <c r="L92" s="18" t="s">
        <v>487</v>
      </c>
    </row>
    <row r="93" spans="1:14" ht="18">
      <c r="A93" s="1" t="s">
        <v>488</v>
      </c>
      <c r="B93" s="1" t="s">
        <v>489</v>
      </c>
      <c r="C93" s="1" t="s">
        <v>489</v>
      </c>
      <c r="E93" t="s">
        <v>490</v>
      </c>
    </row>
    <row r="94" spans="1:14" s="2" customFormat="1" ht="81">
      <c r="A94" s="8" t="s">
        <v>491</v>
      </c>
      <c r="B94" s="2" t="s">
        <v>491</v>
      </c>
      <c r="C94" s="2" t="s">
        <v>491</v>
      </c>
      <c r="E94" s="2" t="s">
        <v>3939</v>
      </c>
      <c r="F94" s="2" t="s">
        <v>3940</v>
      </c>
      <c r="G94" s="2" t="s">
        <v>3941</v>
      </c>
      <c r="H94" s="2" t="s">
        <v>492</v>
      </c>
      <c r="I94" s="2" t="s">
        <v>493</v>
      </c>
      <c r="J94" s="2" t="s">
        <v>3943</v>
      </c>
      <c r="L94" s="6" t="s">
        <v>3942</v>
      </c>
    </row>
    <row r="95" spans="1:14" s="2" customFormat="1" ht="81">
      <c r="A95" s="12" t="s">
        <v>494</v>
      </c>
      <c r="B95" s="13" t="s">
        <v>495</v>
      </c>
      <c r="C95" s="13" t="s">
        <v>495</v>
      </c>
      <c r="E95" s="8" t="s">
        <v>496</v>
      </c>
      <c r="G95" s="2" t="s">
        <v>497</v>
      </c>
      <c r="H95" s="2" t="s">
        <v>498</v>
      </c>
      <c r="I95" s="2" t="s">
        <v>499</v>
      </c>
      <c r="J95" s="2" t="s">
        <v>500</v>
      </c>
      <c r="L95" s="6" t="s">
        <v>501</v>
      </c>
      <c r="N95" s="2" t="s">
        <v>502</v>
      </c>
    </row>
    <row r="96" spans="1:14" s="2" customFormat="1" ht="18" customHeight="1">
      <c r="A96" s="13" t="s">
        <v>503</v>
      </c>
      <c r="B96" s="13" t="s">
        <v>504</v>
      </c>
      <c r="C96" s="13" t="s">
        <v>504</v>
      </c>
      <c r="E96" s="2" t="s">
        <v>505</v>
      </c>
      <c r="F96" s="2" t="s">
        <v>506</v>
      </c>
      <c r="G96" s="8"/>
      <c r="K96" s="23">
        <v>1</v>
      </c>
    </row>
    <row r="97" spans="1:12" ht="18">
      <c r="A97" s="1" t="s">
        <v>507</v>
      </c>
      <c r="B97" s="1" t="s">
        <v>508</v>
      </c>
      <c r="C97" s="1" t="s">
        <v>508</v>
      </c>
    </row>
    <row r="98" spans="1:12" ht="18">
      <c r="A98" s="1" t="s">
        <v>509</v>
      </c>
      <c r="B98" s="1" t="s">
        <v>510</v>
      </c>
      <c r="C98" s="1" t="s">
        <v>510</v>
      </c>
      <c r="E98" t="s">
        <v>511</v>
      </c>
    </row>
    <row r="99" spans="1:12" ht="18">
      <c r="A99" s="1" t="s">
        <v>512</v>
      </c>
      <c r="B99" s="1" t="s">
        <v>513</v>
      </c>
      <c r="C99" s="1" t="s">
        <v>513</v>
      </c>
    </row>
    <row r="100" spans="1:12" ht="18">
      <c r="A100" s="1" t="s">
        <v>514</v>
      </c>
      <c r="B100" s="1" t="s">
        <v>515</v>
      </c>
      <c r="C100" s="1" t="s">
        <v>515</v>
      </c>
    </row>
    <row r="101" spans="1:12" ht="18">
      <c r="A101" s="1" t="s">
        <v>516</v>
      </c>
      <c r="B101" s="1" t="s">
        <v>517</v>
      </c>
      <c r="C101" s="1" t="s">
        <v>517</v>
      </c>
      <c r="E101" t="s">
        <v>518</v>
      </c>
    </row>
    <row r="102" spans="1:12" s="19" customFormat="1" ht="18" customHeight="1">
      <c r="A102" s="21" t="s">
        <v>519</v>
      </c>
      <c r="B102" s="21" t="s">
        <v>520</v>
      </c>
      <c r="C102" s="21" t="s">
        <v>520</v>
      </c>
      <c r="E102" s="19" t="s">
        <v>521</v>
      </c>
      <c r="G102" s="19" t="s">
        <v>522</v>
      </c>
      <c r="H102" s="19" t="s">
        <v>523</v>
      </c>
      <c r="I102" s="19" t="s">
        <v>524</v>
      </c>
      <c r="J102" s="19" t="s">
        <v>525</v>
      </c>
      <c r="K102" s="20">
        <v>1</v>
      </c>
      <c r="L102" s="19" t="s">
        <v>526</v>
      </c>
    </row>
    <row r="103" spans="1:12" ht="18">
      <c r="A103" s="1" t="s">
        <v>527</v>
      </c>
      <c r="B103" s="1" t="s">
        <v>527</v>
      </c>
      <c r="C103" s="1" t="s">
        <v>527</v>
      </c>
    </row>
    <row r="104" spans="1:12" ht="18">
      <c r="A104" s="1" t="s">
        <v>528</v>
      </c>
      <c r="B104" s="1" t="s">
        <v>529</v>
      </c>
      <c r="C104" s="1" t="s">
        <v>529</v>
      </c>
      <c r="E104" t="s">
        <v>530</v>
      </c>
      <c r="G104" t="s">
        <v>531</v>
      </c>
      <c r="H104" t="s">
        <v>532</v>
      </c>
      <c r="I104" t="s">
        <v>533</v>
      </c>
      <c r="L104" t="s">
        <v>534</v>
      </c>
    </row>
    <row r="105" spans="1:12" s="2" customFormat="1" ht="18">
      <c r="A105" s="8" t="s">
        <v>535</v>
      </c>
      <c r="B105" s="2" t="s">
        <v>536</v>
      </c>
      <c r="C105" s="2" t="s">
        <v>536</v>
      </c>
      <c r="E105" s="2" t="s">
        <v>537</v>
      </c>
      <c r="G105" s="2" t="s">
        <v>538</v>
      </c>
      <c r="H105" s="2" t="s">
        <v>539</v>
      </c>
      <c r="I105" s="2" t="s">
        <v>540</v>
      </c>
      <c r="J105" s="2" t="s">
        <v>541</v>
      </c>
      <c r="L105" s="2" t="s">
        <v>542</v>
      </c>
    </row>
    <row r="106" spans="1:12" ht="18">
      <c r="A106" s="1" t="s">
        <v>543</v>
      </c>
      <c r="B106" s="1" t="s">
        <v>544</v>
      </c>
      <c r="C106" s="1" t="s">
        <v>544</v>
      </c>
    </row>
    <row r="107" spans="1:12" ht="18">
      <c r="A107" s="1" t="s">
        <v>545</v>
      </c>
      <c r="B107" s="1" t="s">
        <v>546</v>
      </c>
      <c r="C107" s="1" t="s">
        <v>546</v>
      </c>
    </row>
    <row r="108" spans="1:12" s="2" customFormat="1" ht="18">
      <c r="A108" s="16" t="s">
        <v>547</v>
      </c>
      <c r="B108" s="16" t="s">
        <v>548</v>
      </c>
      <c r="C108" s="16" t="s">
        <v>548</v>
      </c>
      <c r="E108" s="2" t="s">
        <v>549</v>
      </c>
      <c r="F108" s="8"/>
      <c r="G108" s="2" t="s">
        <v>550</v>
      </c>
      <c r="H108" s="2" t="s">
        <v>551</v>
      </c>
      <c r="I108" s="2" t="s">
        <v>552</v>
      </c>
      <c r="J108" s="2" t="s">
        <v>553</v>
      </c>
      <c r="L108" s="2" t="s">
        <v>554</v>
      </c>
    </row>
    <row r="109" spans="1:12" ht="18">
      <c r="A109" s="1" t="s">
        <v>555</v>
      </c>
      <c r="B109" s="1" t="s">
        <v>556</v>
      </c>
      <c r="C109" s="1" t="s">
        <v>556</v>
      </c>
      <c r="E109" s="1" t="s">
        <v>555</v>
      </c>
    </row>
    <row r="110" spans="1:12" ht="18">
      <c r="A110" s="1" t="s">
        <v>557</v>
      </c>
      <c r="B110" s="1" t="s">
        <v>558</v>
      </c>
      <c r="C110" s="1" t="s">
        <v>558</v>
      </c>
      <c r="E110" t="s">
        <v>559</v>
      </c>
    </row>
    <row r="111" spans="1:12" s="19" customFormat="1" ht="18" customHeight="1">
      <c r="A111" s="21" t="s">
        <v>560</v>
      </c>
      <c r="B111" s="21" t="s">
        <v>561</v>
      </c>
      <c r="C111" s="21" t="s">
        <v>561</v>
      </c>
      <c r="E111" s="22" t="s">
        <v>562</v>
      </c>
      <c r="F111" s="2" t="s">
        <v>563</v>
      </c>
      <c r="G111" s="2" t="s">
        <v>564</v>
      </c>
      <c r="H111" s="19" t="s">
        <v>565</v>
      </c>
      <c r="I111" s="19" t="s">
        <v>566</v>
      </c>
      <c r="K111" s="20">
        <v>1</v>
      </c>
    </row>
    <row r="112" spans="1:12" ht="18">
      <c r="A112" s="1" t="s">
        <v>567</v>
      </c>
      <c r="B112" s="1" t="s">
        <v>568</v>
      </c>
      <c r="C112" s="1" t="s">
        <v>568</v>
      </c>
      <c r="E112" t="s">
        <v>569</v>
      </c>
    </row>
    <row r="113" spans="1:14" s="2" customFormat="1" ht="18">
      <c r="A113" s="8" t="s">
        <v>570</v>
      </c>
      <c r="B113" s="8" t="s">
        <v>571</v>
      </c>
      <c r="C113" s="8" t="s">
        <v>571</v>
      </c>
      <c r="E113" s="2" t="s">
        <v>572</v>
      </c>
    </row>
    <row r="114" spans="1:14" ht="18">
      <c r="A114" s="1" t="s">
        <v>573</v>
      </c>
      <c r="B114" s="1" t="s">
        <v>574</v>
      </c>
      <c r="C114" s="1" t="s">
        <v>574</v>
      </c>
    </row>
    <row r="115" spans="1:14" s="2" customFormat="1" ht="18">
      <c r="A115" s="8" t="s">
        <v>575</v>
      </c>
      <c r="B115" s="8" t="s">
        <v>576</v>
      </c>
      <c r="C115" s="8" t="s">
        <v>576</v>
      </c>
      <c r="E115" s="2" t="s">
        <v>577</v>
      </c>
      <c r="G115" s="2" t="s">
        <v>578</v>
      </c>
      <c r="H115" s="2" t="s">
        <v>579</v>
      </c>
      <c r="I115" s="2" t="s">
        <v>580</v>
      </c>
      <c r="J115" s="2" t="s">
        <v>581</v>
      </c>
      <c r="L115" s="2" t="s">
        <v>582</v>
      </c>
      <c r="N115" s="2" t="s">
        <v>583</v>
      </c>
    </row>
    <row r="116" spans="1:14" s="30" customFormat="1" ht="18" customHeight="1">
      <c r="A116" s="29" t="s">
        <v>584</v>
      </c>
      <c r="B116" s="29" t="s">
        <v>585</v>
      </c>
      <c r="C116" s="29" t="s">
        <v>585</v>
      </c>
      <c r="E116" s="29" t="s">
        <v>584</v>
      </c>
      <c r="K116" s="20">
        <v>1</v>
      </c>
      <c r="M116" s="19"/>
    </row>
    <row r="117" spans="1:14" ht="18" customHeight="1">
      <c r="A117" s="1" t="s">
        <v>586</v>
      </c>
      <c r="B117" s="1" t="s">
        <v>587</v>
      </c>
      <c r="C117" s="1" t="s">
        <v>587</v>
      </c>
      <c r="E117" s="1" t="s">
        <v>586</v>
      </c>
      <c r="K117" s="23">
        <v>1</v>
      </c>
    </row>
    <row r="118" spans="1:14" ht="18">
      <c r="A118" s="1" t="s">
        <v>588</v>
      </c>
      <c r="B118" s="1" t="s">
        <v>589</v>
      </c>
      <c r="C118" s="1" t="s">
        <v>589</v>
      </c>
    </row>
    <row r="119" spans="1:14" ht="18">
      <c r="A119" s="1" t="s">
        <v>590</v>
      </c>
      <c r="B119" t="s">
        <v>591</v>
      </c>
      <c r="C119" t="s">
        <v>591</v>
      </c>
    </row>
    <row r="120" spans="1:14" ht="18">
      <c r="A120" s="1" t="s">
        <v>592</v>
      </c>
      <c r="B120" s="4" t="s">
        <v>593</v>
      </c>
      <c r="C120" s="4" t="s">
        <v>593</v>
      </c>
    </row>
    <row r="121" spans="1:14" ht="18">
      <c r="A121" s="1" t="s">
        <v>594</v>
      </c>
      <c r="B121" s="1" t="s">
        <v>595</v>
      </c>
      <c r="C121" s="1" t="s">
        <v>595</v>
      </c>
    </row>
    <row r="122" spans="1:14" ht="18">
      <c r="A122" s="1" t="s">
        <v>596</v>
      </c>
      <c r="B122" s="1" t="s">
        <v>597</v>
      </c>
      <c r="C122" s="1" t="s">
        <v>597</v>
      </c>
    </row>
    <row r="123" spans="1:14" ht="18">
      <c r="A123" s="1" t="s">
        <v>598</v>
      </c>
      <c r="B123" s="1" t="s">
        <v>599</v>
      </c>
      <c r="C123" s="1" t="s">
        <v>599</v>
      </c>
    </row>
    <row r="124" spans="1:14" ht="18">
      <c r="A124" s="1" t="s">
        <v>600</v>
      </c>
      <c r="B124" s="1" t="s">
        <v>601</v>
      </c>
      <c r="C124" s="1" t="s">
        <v>601</v>
      </c>
    </row>
    <row r="125" spans="1:14" s="2" customFormat="1" ht="18">
      <c r="A125" s="8" t="s">
        <v>602</v>
      </c>
      <c r="B125" s="2" t="s">
        <v>603</v>
      </c>
      <c r="C125" s="2" t="s">
        <v>603</v>
      </c>
      <c r="E125" s="2" t="s">
        <v>604</v>
      </c>
      <c r="G125" s="2" t="s">
        <v>605</v>
      </c>
      <c r="H125" s="2" t="s">
        <v>606</v>
      </c>
      <c r="I125" s="2" t="s">
        <v>607</v>
      </c>
      <c r="J125" s="2" t="s">
        <v>608</v>
      </c>
      <c r="L125" s="2" t="s">
        <v>609</v>
      </c>
    </row>
    <row r="126" spans="1:14" s="2" customFormat="1" ht="18">
      <c r="A126" s="8" t="s">
        <v>610</v>
      </c>
      <c r="B126" s="2" t="s">
        <v>610</v>
      </c>
      <c r="C126" s="2" t="s">
        <v>610</v>
      </c>
      <c r="E126" s="2" t="s">
        <v>611</v>
      </c>
      <c r="G126" s="2" t="s">
        <v>612</v>
      </c>
      <c r="H126" s="2" t="s">
        <v>613</v>
      </c>
      <c r="I126" s="2" t="s">
        <v>614</v>
      </c>
      <c r="J126" s="2" t="s">
        <v>615</v>
      </c>
      <c r="L126" s="2" t="s">
        <v>616</v>
      </c>
      <c r="N126" s="2" t="s">
        <v>617</v>
      </c>
    </row>
    <row r="127" spans="1:14" ht="18">
      <c r="A127" s="1" t="s">
        <v>618</v>
      </c>
      <c r="B127" t="s">
        <v>619</v>
      </c>
      <c r="C127" t="s">
        <v>619</v>
      </c>
    </row>
    <row r="128" spans="1:14" ht="18">
      <c r="A128" s="1" t="s">
        <v>620</v>
      </c>
      <c r="B128" t="s">
        <v>621</v>
      </c>
      <c r="C128" t="s">
        <v>621</v>
      </c>
      <c r="E128" t="s">
        <v>622</v>
      </c>
    </row>
    <row r="129" spans="1:15" ht="18">
      <c r="A129" s="1" t="s">
        <v>623</v>
      </c>
      <c r="B129" t="s">
        <v>624</v>
      </c>
      <c r="C129" t="s">
        <v>624</v>
      </c>
      <c r="E129" t="s">
        <v>625</v>
      </c>
      <c r="G129" t="s">
        <v>626</v>
      </c>
      <c r="H129" t="s">
        <v>627</v>
      </c>
      <c r="I129" s="4" t="s">
        <v>628</v>
      </c>
      <c r="J129" t="s">
        <v>629</v>
      </c>
      <c r="L129" t="s">
        <v>630</v>
      </c>
    </row>
    <row r="130" spans="1:15" s="2" customFormat="1" ht="18">
      <c r="A130" s="8" t="s">
        <v>631</v>
      </c>
      <c r="B130" s="8" t="s">
        <v>632</v>
      </c>
      <c r="C130" s="8" t="s">
        <v>632</v>
      </c>
      <c r="E130" s="2" t="s">
        <v>633</v>
      </c>
      <c r="G130" s="2" t="s">
        <v>634</v>
      </c>
      <c r="H130" s="8" t="s">
        <v>635</v>
      </c>
      <c r="I130" s="2" t="s">
        <v>636</v>
      </c>
      <c r="J130" s="9" t="s">
        <v>637</v>
      </c>
      <c r="L130" s="2" t="s">
        <v>638</v>
      </c>
      <c r="N130" s="2" t="s">
        <v>639</v>
      </c>
      <c r="O130" s="2" t="s">
        <v>640</v>
      </c>
    </row>
    <row r="131" spans="1:15" ht="18">
      <c r="A131" s="1" t="s">
        <v>641</v>
      </c>
      <c r="B131" s="1" t="s">
        <v>642</v>
      </c>
      <c r="C131" s="1" t="s">
        <v>642</v>
      </c>
      <c r="E131" t="s">
        <v>643</v>
      </c>
    </row>
    <row r="132" spans="1:15" s="2" customFormat="1" ht="18" customHeight="1">
      <c r="A132" s="8" t="s">
        <v>644</v>
      </c>
      <c r="B132" s="8" t="s">
        <v>645</v>
      </c>
      <c r="C132" s="8" t="s">
        <v>645</v>
      </c>
      <c r="E132" s="2" t="s">
        <v>646</v>
      </c>
      <c r="G132" s="2" t="s">
        <v>647</v>
      </c>
      <c r="H132" s="2" t="s">
        <v>648</v>
      </c>
      <c r="I132" s="2" t="s">
        <v>649</v>
      </c>
      <c r="J132" s="2" t="s">
        <v>650</v>
      </c>
      <c r="K132" s="23">
        <v>1</v>
      </c>
      <c r="L132" s="2" t="s">
        <v>651</v>
      </c>
      <c r="N132" s="2" t="s">
        <v>652</v>
      </c>
    </row>
    <row r="133" spans="1:15" ht="18">
      <c r="A133" s="1" t="s">
        <v>653</v>
      </c>
      <c r="B133" t="s">
        <v>654</v>
      </c>
      <c r="C133" t="s">
        <v>654</v>
      </c>
    </row>
    <row r="134" spans="1:15" ht="18">
      <c r="A134" s="1" t="s">
        <v>655</v>
      </c>
      <c r="B134" t="s">
        <v>656</v>
      </c>
      <c r="C134" t="s">
        <v>656</v>
      </c>
      <c r="E134" t="s">
        <v>657</v>
      </c>
      <c r="G134" t="s">
        <v>658</v>
      </c>
      <c r="H134" t="s">
        <v>659</v>
      </c>
      <c r="I134" t="s">
        <v>660</v>
      </c>
      <c r="J134" t="s">
        <v>661</v>
      </c>
      <c r="L134" t="s">
        <v>662</v>
      </c>
      <c r="N134" t="s">
        <v>663</v>
      </c>
    </row>
    <row r="135" spans="1:15" s="2" customFormat="1" ht="129">
      <c r="A135" s="38" t="s">
        <v>3894</v>
      </c>
      <c r="B135" s="8" t="s">
        <v>664</v>
      </c>
      <c r="C135" s="8" t="s">
        <v>664</v>
      </c>
      <c r="E135" s="2" t="s">
        <v>3887</v>
      </c>
      <c r="F135" s="6" t="s">
        <v>3893</v>
      </c>
      <c r="G135" s="2" t="s">
        <v>3889</v>
      </c>
      <c r="H135" s="2" t="s">
        <v>3890</v>
      </c>
      <c r="I135" s="2" t="s">
        <v>3891</v>
      </c>
      <c r="J135" s="2" t="s">
        <v>3892</v>
      </c>
      <c r="L135" s="6" t="s">
        <v>3888</v>
      </c>
    </row>
    <row r="136" spans="1:15" ht="18">
      <c r="A136" s="1" t="s">
        <v>665</v>
      </c>
      <c r="B136" t="s">
        <v>666</v>
      </c>
      <c r="C136" t="s">
        <v>666</v>
      </c>
    </row>
    <row r="137" spans="1:15" ht="18">
      <c r="A137" s="1" t="s">
        <v>667</v>
      </c>
      <c r="B137" s="1" t="s">
        <v>668</v>
      </c>
      <c r="C137" s="1" t="s">
        <v>668</v>
      </c>
      <c r="E137" t="s">
        <v>669</v>
      </c>
    </row>
    <row r="138" spans="1:15" ht="18">
      <c r="A138" s="1" t="s">
        <v>670</v>
      </c>
      <c r="B138" t="s">
        <v>671</v>
      </c>
      <c r="C138" t="s">
        <v>671</v>
      </c>
    </row>
    <row r="139" spans="1:15" ht="18">
      <c r="A139" s="1" t="s">
        <v>672</v>
      </c>
      <c r="B139" t="s">
        <v>673</v>
      </c>
      <c r="C139" t="s">
        <v>673</v>
      </c>
    </row>
    <row r="140" spans="1:15" s="2" customFormat="1" ht="18">
      <c r="A140" s="8" t="s">
        <v>674</v>
      </c>
      <c r="B140" s="2" t="s">
        <v>675</v>
      </c>
      <c r="C140" s="2" t="s">
        <v>675</v>
      </c>
      <c r="E140" s="2" t="s">
        <v>676</v>
      </c>
      <c r="G140" s="2" t="s">
        <v>677</v>
      </c>
      <c r="H140" s="2" t="s">
        <v>678</v>
      </c>
      <c r="I140" s="2" t="s">
        <v>679</v>
      </c>
      <c r="J140" s="2" t="s">
        <v>680</v>
      </c>
      <c r="K140" s="2">
        <v>1</v>
      </c>
      <c r="L140" s="2" t="s">
        <v>681</v>
      </c>
      <c r="N140" s="2" t="s">
        <v>682</v>
      </c>
    </row>
    <row r="141" spans="1:15" s="2" customFormat="1" ht="18">
      <c r="A141" s="8" t="s">
        <v>683</v>
      </c>
      <c r="B141" s="2" t="s">
        <v>683</v>
      </c>
      <c r="C141" s="2" t="s">
        <v>683</v>
      </c>
      <c r="E141" s="2" t="s">
        <v>684</v>
      </c>
      <c r="G141" s="2" t="s">
        <v>685</v>
      </c>
      <c r="H141" s="2" t="s">
        <v>686</v>
      </c>
      <c r="I141" s="2" t="s">
        <v>687</v>
      </c>
    </row>
    <row r="142" spans="1:15" ht="18">
      <c r="A142" s="1" t="s">
        <v>688</v>
      </c>
      <c r="B142" s="1" t="s">
        <v>689</v>
      </c>
      <c r="C142" s="1" t="s">
        <v>689</v>
      </c>
    </row>
    <row r="143" spans="1:15" ht="18">
      <c r="A143" s="1" t="s">
        <v>690</v>
      </c>
      <c r="B143" t="s">
        <v>691</v>
      </c>
      <c r="C143" t="s">
        <v>691</v>
      </c>
    </row>
    <row r="144" spans="1:15" s="2" customFormat="1" ht="18">
      <c r="A144" s="8" t="s">
        <v>692</v>
      </c>
      <c r="B144" s="2" t="s">
        <v>693</v>
      </c>
      <c r="C144" s="2" t="s">
        <v>693</v>
      </c>
      <c r="E144" s="2" t="s">
        <v>694</v>
      </c>
    </row>
    <row r="145" spans="1:12" ht="18">
      <c r="A145" s="1" t="s">
        <v>695</v>
      </c>
      <c r="B145" t="s">
        <v>696</v>
      </c>
      <c r="C145" t="s">
        <v>696</v>
      </c>
    </row>
    <row r="146" spans="1:12" ht="18">
      <c r="A146" s="1" t="s">
        <v>697</v>
      </c>
      <c r="B146" s="1" t="s">
        <v>698</v>
      </c>
      <c r="C146" s="1" t="s">
        <v>698</v>
      </c>
    </row>
    <row r="147" spans="1:12" ht="18">
      <c r="A147" s="1" t="s">
        <v>699</v>
      </c>
      <c r="B147" s="1" t="s">
        <v>689</v>
      </c>
      <c r="C147" s="1" t="s">
        <v>689</v>
      </c>
    </row>
    <row r="148" spans="1:12" ht="18">
      <c r="A148" s="1" t="s">
        <v>700</v>
      </c>
      <c r="B148" t="s">
        <v>701</v>
      </c>
      <c r="C148" t="s">
        <v>701</v>
      </c>
      <c r="G148" s="1" t="s">
        <v>702</v>
      </c>
      <c r="H148" s="1" t="s">
        <v>701</v>
      </c>
    </row>
    <row r="149" spans="1:12" ht="18">
      <c r="A149" s="1" t="s">
        <v>703</v>
      </c>
      <c r="B149" s="1" t="s">
        <v>704</v>
      </c>
      <c r="C149" s="1" t="s">
        <v>704</v>
      </c>
    </row>
    <row r="150" spans="1:12" ht="18" customHeight="1">
      <c r="A150" s="1" t="s">
        <v>705</v>
      </c>
      <c r="B150" t="s">
        <v>706</v>
      </c>
      <c r="C150" t="s">
        <v>706</v>
      </c>
      <c r="E150" t="s">
        <v>707</v>
      </c>
      <c r="G150" t="s">
        <v>708</v>
      </c>
      <c r="H150" s="1" t="s">
        <v>709</v>
      </c>
      <c r="K150" s="23">
        <v>1</v>
      </c>
    </row>
    <row r="151" spans="1:12" ht="18" customHeight="1">
      <c r="A151" s="1" t="s">
        <v>710</v>
      </c>
      <c r="B151" t="s">
        <v>711</v>
      </c>
      <c r="C151" t="s">
        <v>711</v>
      </c>
      <c r="E151" s="1" t="s">
        <v>710</v>
      </c>
      <c r="K151" s="23">
        <v>1</v>
      </c>
    </row>
    <row r="152" spans="1:12" ht="18" customHeight="1">
      <c r="A152" t="s">
        <v>712</v>
      </c>
      <c r="B152" t="s">
        <v>713</v>
      </c>
      <c r="C152" t="s">
        <v>713</v>
      </c>
      <c r="E152" t="s">
        <v>712</v>
      </c>
      <c r="K152" s="23">
        <v>1</v>
      </c>
    </row>
    <row r="153" spans="1:12" ht="177">
      <c r="A153" s="1" t="s">
        <v>714</v>
      </c>
      <c r="B153" s="1" t="s">
        <v>715</v>
      </c>
      <c r="C153" s="1" t="s">
        <v>715</v>
      </c>
      <c r="E153" t="s">
        <v>716</v>
      </c>
      <c r="G153" s="18" t="s">
        <v>717</v>
      </c>
      <c r="H153" t="s">
        <v>718</v>
      </c>
      <c r="I153" t="s">
        <v>719</v>
      </c>
      <c r="J153" t="s">
        <v>720</v>
      </c>
      <c r="L153" s="18" t="s">
        <v>721</v>
      </c>
    </row>
    <row r="154" spans="1:12" ht="18" customHeight="1">
      <c r="A154" t="s">
        <v>722</v>
      </c>
      <c r="B154" t="s">
        <v>723</v>
      </c>
      <c r="C154" t="s">
        <v>723</v>
      </c>
      <c r="E154" t="s">
        <v>724</v>
      </c>
      <c r="K154" s="23">
        <v>1</v>
      </c>
    </row>
    <row r="155" spans="1:12" ht="18">
      <c r="A155" s="1" t="s">
        <v>725</v>
      </c>
      <c r="B155" s="1" t="s">
        <v>726</v>
      </c>
      <c r="C155" s="1" t="s">
        <v>726</v>
      </c>
    </row>
    <row r="156" spans="1:12" ht="18">
      <c r="A156" s="1" t="s">
        <v>727</v>
      </c>
      <c r="B156" s="1" t="s">
        <v>728</v>
      </c>
      <c r="C156" s="1" t="s">
        <v>728</v>
      </c>
    </row>
    <row r="157" spans="1:12" s="2" customFormat="1" ht="18" customHeight="1">
      <c r="A157" s="13" t="s">
        <v>729</v>
      </c>
      <c r="B157" s="13" t="s">
        <v>730</v>
      </c>
      <c r="C157" s="13" t="s">
        <v>730</v>
      </c>
      <c r="E157" s="2" t="s">
        <v>731</v>
      </c>
      <c r="G157" s="2" t="s">
        <v>732</v>
      </c>
      <c r="H157" s="2" t="s">
        <v>733</v>
      </c>
      <c r="I157" s="2" t="s">
        <v>734</v>
      </c>
      <c r="K157" s="23">
        <v>1</v>
      </c>
    </row>
    <row r="158" spans="1:12" ht="18">
      <c r="A158" s="1" t="s">
        <v>735</v>
      </c>
      <c r="B158" s="1" t="s">
        <v>736</v>
      </c>
      <c r="C158" s="1" t="s">
        <v>736</v>
      </c>
    </row>
    <row r="159" spans="1:12" ht="18">
      <c r="A159" s="1" t="s">
        <v>737</v>
      </c>
      <c r="B159" s="1" t="s">
        <v>738</v>
      </c>
      <c r="C159" s="1" t="s">
        <v>738</v>
      </c>
      <c r="E159" t="s">
        <v>739</v>
      </c>
      <c r="G159" t="s">
        <v>740</v>
      </c>
      <c r="H159" t="s">
        <v>741</v>
      </c>
      <c r="I159" t="s">
        <v>742</v>
      </c>
      <c r="J159" t="s">
        <v>743</v>
      </c>
      <c r="L159" t="s">
        <v>744</v>
      </c>
    </row>
    <row r="160" spans="1:12" ht="18">
      <c r="A160" s="1" t="s">
        <v>745</v>
      </c>
      <c r="B160" s="1" t="s">
        <v>746</v>
      </c>
      <c r="C160" s="1" t="s">
        <v>746</v>
      </c>
      <c r="E160" s="1" t="s">
        <v>745</v>
      </c>
    </row>
    <row r="161" spans="1:15" ht="18">
      <c r="A161" s="1" t="s">
        <v>747</v>
      </c>
      <c r="B161" s="1" t="s">
        <v>748</v>
      </c>
      <c r="C161" s="1" t="s">
        <v>748</v>
      </c>
      <c r="E161" t="s">
        <v>749</v>
      </c>
    </row>
    <row r="162" spans="1:15" ht="18">
      <c r="A162" s="1" t="s">
        <v>750</v>
      </c>
      <c r="B162" s="1" t="s">
        <v>751</v>
      </c>
      <c r="C162" s="1" t="s">
        <v>751</v>
      </c>
    </row>
    <row r="163" spans="1:15" ht="18">
      <c r="A163" s="1" t="s">
        <v>752</v>
      </c>
      <c r="B163" s="1" t="s">
        <v>753</v>
      </c>
      <c r="C163" s="1" t="s">
        <v>753</v>
      </c>
    </row>
    <row r="164" spans="1:15" ht="18">
      <c r="A164" s="1" t="s">
        <v>754</v>
      </c>
      <c r="B164" s="1" t="s">
        <v>755</v>
      </c>
      <c r="C164" s="1" t="s">
        <v>755</v>
      </c>
    </row>
    <row r="165" spans="1:15" ht="81">
      <c r="A165" s="1" t="s">
        <v>756</v>
      </c>
      <c r="B165" t="s">
        <v>757</v>
      </c>
      <c r="C165" t="s">
        <v>757</v>
      </c>
      <c r="E165" t="s">
        <v>758</v>
      </c>
      <c r="G165" t="s">
        <v>759</v>
      </c>
      <c r="H165" t="s">
        <v>760</v>
      </c>
      <c r="I165" t="s">
        <v>761</v>
      </c>
      <c r="J165" t="s">
        <v>762</v>
      </c>
      <c r="L165" s="18" t="s">
        <v>763</v>
      </c>
      <c r="N165" t="s">
        <v>764</v>
      </c>
    </row>
    <row r="166" spans="1:15" ht="18">
      <c r="A166" s="1" t="s">
        <v>765</v>
      </c>
      <c r="B166" s="1" t="s">
        <v>766</v>
      </c>
      <c r="C166" s="1" t="s">
        <v>766</v>
      </c>
    </row>
    <row r="167" spans="1:15" ht="18">
      <c r="A167" s="1" t="s">
        <v>767</v>
      </c>
      <c r="B167" s="1" t="s">
        <v>768</v>
      </c>
      <c r="C167" s="1" t="s">
        <v>768</v>
      </c>
    </row>
    <row r="168" spans="1:15" ht="18">
      <c r="A168" s="10" t="s">
        <v>769</v>
      </c>
      <c r="B168" s="10" t="s">
        <v>770</v>
      </c>
      <c r="C168" s="10" t="s">
        <v>770</v>
      </c>
      <c r="E168" t="s">
        <v>771</v>
      </c>
      <c r="F168" t="s">
        <v>772</v>
      </c>
      <c r="G168" t="s">
        <v>773</v>
      </c>
      <c r="H168" t="s">
        <v>774</v>
      </c>
      <c r="I168" t="s">
        <v>775</v>
      </c>
      <c r="J168" t="s">
        <v>776</v>
      </c>
      <c r="L168" t="s">
        <v>777</v>
      </c>
      <c r="N168" t="s">
        <v>778</v>
      </c>
    </row>
    <row r="169" spans="1:15" ht="18">
      <c r="A169" s="10" t="s">
        <v>779</v>
      </c>
      <c r="B169" s="10" t="s">
        <v>780</v>
      </c>
      <c r="C169" s="10" t="s">
        <v>780</v>
      </c>
      <c r="E169" t="s">
        <v>781</v>
      </c>
    </row>
    <row r="170" spans="1:15" ht="18">
      <c r="A170" s="10" t="s">
        <v>782</v>
      </c>
      <c r="B170" s="10" t="s">
        <v>783</v>
      </c>
      <c r="C170" s="10" t="s">
        <v>783</v>
      </c>
      <c r="E170" t="s">
        <v>784</v>
      </c>
      <c r="G170" t="s">
        <v>785</v>
      </c>
      <c r="H170" t="s">
        <v>786</v>
      </c>
      <c r="I170" t="s">
        <v>787</v>
      </c>
    </row>
    <row r="171" spans="1:15" s="2" customFormat="1" ht="18">
      <c r="A171" s="8" t="s">
        <v>788</v>
      </c>
      <c r="B171" s="12" t="s">
        <v>788</v>
      </c>
      <c r="C171" s="12" t="s">
        <v>788</v>
      </c>
      <c r="E171" s="2" t="s">
        <v>789</v>
      </c>
      <c r="G171" s="2" t="s">
        <v>790</v>
      </c>
      <c r="H171" s="2" t="s">
        <v>791</v>
      </c>
      <c r="I171" s="2" t="s">
        <v>792</v>
      </c>
      <c r="J171" s="2" t="s">
        <v>793</v>
      </c>
    </row>
    <row r="172" spans="1:15" ht="65">
      <c r="A172" s="1" t="s">
        <v>794</v>
      </c>
      <c r="B172" t="s">
        <v>795</v>
      </c>
      <c r="C172" t="s">
        <v>795</v>
      </c>
      <c r="E172" t="s">
        <v>796</v>
      </c>
      <c r="G172" t="s">
        <v>797</v>
      </c>
      <c r="H172" t="s">
        <v>798</v>
      </c>
      <c r="I172" t="s">
        <v>799</v>
      </c>
      <c r="J172" t="s">
        <v>800</v>
      </c>
      <c r="L172" s="18" t="s">
        <v>801</v>
      </c>
      <c r="N172" t="s">
        <v>802</v>
      </c>
    </row>
    <row r="173" spans="1:15" ht="18">
      <c r="A173" s="1" t="s">
        <v>803</v>
      </c>
      <c r="B173" s="1" t="s">
        <v>804</v>
      </c>
      <c r="C173" s="1" t="s">
        <v>804</v>
      </c>
    </row>
    <row r="174" spans="1:15" s="2" customFormat="1" ht="18">
      <c r="A174" s="8" t="s">
        <v>805</v>
      </c>
      <c r="B174" s="8" t="s">
        <v>806</v>
      </c>
      <c r="C174" s="8" t="s">
        <v>806</v>
      </c>
      <c r="E174" s="2" t="s">
        <v>807</v>
      </c>
      <c r="G174" s="2" t="s">
        <v>808</v>
      </c>
      <c r="H174" s="2" t="s">
        <v>809</v>
      </c>
      <c r="I174" s="2" t="s">
        <v>810</v>
      </c>
      <c r="J174" s="2" t="s">
        <v>811</v>
      </c>
      <c r="L174" s="2" t="s">
        <v>812</v>
      </c>
      <c r="N174" s="2" t="s">
        <v>813</v>
      </c>
    </row>
    <row r="175" spans="1:15" ht="18">
      <c r="A175" s="1" t="s">
        <v>814</v>
      </c>
      <c r="B175" t="s">
        <v>815</v>
      </c>
      <c r="C175" t="s">
        <v>815</v>
      </c>
    </row>
    <row r="176" spans="1:15" s="2" customFormat="1" ht="18" customHeight="1">
      <c r="A176" s="2" t="s">
        <v>816</v>
      </c>
      <c r="B176" s="8" t="s">
        <v>817</v>
      </c>
      <c r="C176" s="8" t="s">
        <v>817</v>
      </c>
      <c r="E176" s="2" t="s">
        <v>818</v>
      </c>
      <c r="G176" s="8" t="s">
        <v>819</v>
      </c>
      <c r="H176" s="2" t="s">
        <v>820</v>
      </c>
      <c r="I176" s="2" t="s">
        <v>821</v>
      </c>
      <c r="J176" s="2" t="s">
        <v>822</v>
      </c>
      <c r="K176" s="23">
        <v>1</v>
      </c>
      <c r="L176" s="2" t="s">
        <v>823</v>
      </c>
      <c r="N176" s="2" t="s">
        <v>824</v>
      </c>
      <c r="O176" s="2" t="s">
        <v>825</v>
      </c>
    </row>
    <row r="177" spans="1:14" s="2" customFormat="1" ht="18">
      <c r="A177" s="8" t="s">
        <v>826</v>
      </c>
      <c r="B177" s="8" t="s">
        <v>827</v>
      </c>
      <c r="C177" s="8" t="s">
        <v>827</v>
      </c>
      <c r="E177" s="2" t="s">
        <v>828</v>
      </c>
      <c r="F177" s="2" t="s">
        <v>829</v>
      </c>
      <c r="G177" s="2" t="s">
        <v>830</v>
      </c>
      <c r="H177" s="2" t="s">
        <v>831</v>
      </c>
      <c r="I177" s="2" t="s">
        <v>832</v>
      </c>
      <c r="J177" s="2" t="s">
        <v>833</v>
      </c>
      <c r="L177" s="2" t="s">
        <v>834</v>
      </c>
      <c r="N177" s="2" t="s">
        <v>835</v>
      </c>
    </row>
    <row r="178" spans="1:14" s="2" customFormat="1" ht="18">
      <c r="A178" s="8" t="s">
        <v>836</v>
      </c>
      <c r="B178" s="8" t="s">
        <v>836</v>
      </c>
      <c r="C178" s="8" t="s">
        <v>836</v>
      </c>
      <c r="E178" s="2" t="s">
        <v>837</v>
      </c>
      <c r="G178" s="2" t="s">
        <v>838</v>
      </c>
      <c r="H178" s="2" t="s">
        <v>839</v>
      </c>
      <c r="I178" s="2" t="s">
        <v>840</v>
      </c>
      <c r="J178" s="2" t="s">
        <v>841</v>
      </c>
      <c r="L178" s="2" t="s">
        <v>842</v>
      </c>
      <c r="N178" s="2" t="s">
        <v>843</v>
      </c>
    </row>
    <row r="179" spans="1:14" s="2" customFormat="1" ht="18" customHeight="1">
      <c r="A179" s="8" t="s">
        <v>844</v>
      </c>
      <c r="B179" s="8" t="s">
        <v>845</v>
      </c>
      <c r="C179" s="8" t="s">
        <v>845</v>
      </c>
      <c r="E179" s="2" t="s">
        <v>846</v>
      </c>
      <c r="G179" s="2" t="s">
        <v>847</v>
      </c>
      <c r="H179" s="2" t="s">
        <v>848</v>
      </c>
      <c r="I179" s="17" t="s">
        <v>849</v>
      </c>
      <c r="J179" s="2" t="s">
        <v>850</v>
      </c>
      <c r="K179" s="23">
        <v>1</v>
      </c>
      <c r="M179" s="2" t="s">
        <v>851</v>
      </c>
    </row>
    <row r="180" spans="1:14" ht="18" customHeight="1">
      <c r="A180" t="s">
        <v>852</v>
      </c>
      <c r="B180" s="1" t="s">
        <v>853</v>
      </c>
      <c r="C180" s="1" t="s">
        <v>853</v>
      </c>
      <c r="E180" t="s">
        <v>854</v>
      </c>
      <c r="K180" s="23">
        <v>1</v>
      </c>
    </row>
    <row r="181" spans="1:14" ht="18" customHeight="1">
      <c r="A181" s="1" t="s">
        <v>855</v>
      </c>
      <c r="B181" s="1" t="s">
        <v>856</v>
      </c>
      <c r="C181" s="1" t="s">
        <v>856</v>
      </c>
      <c r="E181" t="s">
        <v>857</v>
      </c>
      <c r="K181" s="23">
        <v>1</v>
      </c>
    </row>
    <row r="182" spans="1:14" ht="18">
      <c r="A182" s="1" t="s">
        <v>858</v>
      </c>
      <c r="B182" s="1" t="s">
        <v>859</v>
      </c>
      <c r="C182" s="1" t="s">
        <v>859</v>
      </c>
      <c r="E182" t="s">
        <v>860</v>
      </c>
    </row>
    <row r="183" spans="1:14" ht="18" customHeight="1">
      <c r="A183" s="1" t="s">
        <v>861</v>
      </c>
      <c r="B183" s="1" t="s">
        <v>862</v>
      </c>
      <c r="C183" s="1" t="s">
        <v>862</v>
      </c>
      <c r="E183" s="1" t="s">
        <v>861</v>
      </c>
      <c r="K183" s="23">
        <v>1</v>
      </c>
    </row>
    <row r="184" spans="1:14" ht="18" customHeight="1">
      <c r="A184" s="1" t="s">
        <v>863</v>
      </c>
      <c r="B184" s="1" t="s">
        <v>864</v>
      </c>
      <c r="C184" s="1" t="s">
        <v>864</v>
      </c>
      <c r="E184" t="s">
        <v>865</v>
      </c>
      <c r="K184" s="23">
        <v>1</v>
      </c>
    </row>
    <row r="185" spans="1:14" s="2" customFormat="1" ht="18" customHeight="1">
      <c r="A185" s="8" t="s">
        <v>866</v>
      </c>
      <c r="B185" s="8" t="s">
        <v>867</v>
      </c>
      <c r="C185" s="8" t="s">
        <v>867</v>
      </c>
      <c r="E185" s="2" t="s">
        <v>868</v>
      </c>
      <c r="G185" s="2" t="s">
        <v>869</v>
      </c>
      <c r="H185" s="2" t="s">
        <v>870</v>
      </c>
      <c r="I185" s="2" t="s">
        <v>871</v>
      </c>
      <c r="K185" s="23">
        <v>1</v>
      </c>
    </row>
    <row r="186" spans="1:14" ht="18" customHeight="1">
      <c r="A186" t="s">
        <v>872</v>
      </c>
      <c r="B186" s="1" t="s">
        <v>873</v>
      </c>
      <c r="C186" s="1" t="s">
        <v>873</v>
      </c>
      <c r="E186" t="s">
        <v>872</v>
      </c>
      <c r="K186" s="23">
        <v>1</v>
      </c>
    </row>
    <row r="187" spans="1:14" ht="18">
      <c r="A187" s="1" t="s">
        <v>874</v>
      </c>
      <c r="B187" s="1" t="s">
        <v>875</v>
      </c>
      <c r="C187" s="1" t="s">
        <v>875</v>
      </c>
      <c r="E187" t="s">
        <v>876</v>
      </c>
    </row>
    <row r="188" spans="1:14" ht="18">
      <c r="A188" s="1" t="s">
        <v>877</v>
      </c>
      <c r="B188" t="s">
        <v>878</v>
      </c>
      <c r="C188" t="s">
        <v>878</v>
      </c>
      <c r="E188" s="1" t="s">
        <v>877</v>
      </c>
      <c r="G188" t="s">
        <v>879</v>
      </c>
      <c r="H188" t="s">
        <v>880</v>
      </c>
      <c r="I188" t="s">
        <v>881</v>
      </c>
      <c r="J188" t="s">
        <v>882</v>
      </c>
      <c r="L188" t="s">
        <v>883</v>
      </c>
      <c r="N188" t="s">
        <v>884</v>
      </c>
    </row>
    <row r="189" spans="1:14" ht="18">
      <c r="A189" s="1" t="s">
        <v>885</v>
      </c>
      <c r="B189" s="1" t="s">
        <v>886</v>
      </c>
      <c r="C189" s="1" t="s">
        <v>886</v>
      </c>
      <c r="E189" t="s">
        <v>887</v>
      </c>
      <c r="G189" t="s">
        <v>888</v>
      </c>
      <c r="H189" t="s">
        <v>889</v>
      </c>
      <c r="I189" t="s">
        <v>890</v>
      </c>
      <c r="J189" t="s">
        <v>891</v>
      </c>
      <c r="L189" t="s">
        <v>892</v>
      </c>
      <c r="N189" t="s">
        <v>893</v>
      </c>
    </row>
    <row r="190" spans="1:14" s="2" customFormat="1" ht="18">
      <c r="A190" s="8" t="s">
        <v>894</v>
      </c>
      <c r="B190" s="2" t="s">
        <v>895</v>
      </c>
      <c r="C190" s="2" t="s">
        <v>895</v>
      </c>
      <c r="E190" s="2" t="s">
        <v>896</v>
      </c>
      <c r="F190" s="2" t="s">
        <v>897</v>
      </c>
      <c r="G190" s="17" t="s">
        <v>898</v>
      </c>
      <c r="H190" s="2" t="s">
        <v>899</v>
      </c>
      <c r="I190" s="2" t="s">
        <v>900</v>
      </c>
      <c r="J190" s="2" t="s">
        <v>901</v>
      </c>
      <c r="L190" s="2" t="s">
        <v>902</v>
      </c>
      <c r="N190" s="2" t="s">
        <v>903</v>
      </c>
    </row>
    <row r="191" spans="1:14" s="2" customFormat="1" ht="18">
      <c r="A191" s="8" t="s">
        <v>904</v>
      </c>
      <c r="B191" s="2" t="s">
        <v>905</v>
      </c>
      <c r="C191" s="2" t="s">
        <v>905</v>
      </c>
      <c r="E191" s="2" t="s">
        <v>906</v>
      </c>
      <c r="F191" s="2" t="s">
        <v>897</v>
      </c>
      <c r="G191" s="17" t="s">
        <v>907</v>
      </c>
      <c r="H191" s="2" t="s">
        <v>908</v>
      </c>
      <c r="I191" s="2" t="s">
        <v>909</v>
      </c>
      <c r="J191" s="2" t="s">
        <v>910</v>
      </c>
      <c r="L191" s="2" t="s">
        <v>911</v>
      </c>
    </row>
    <row r="192" spans="1:14" s="2" customFormat="1" ht="18" customHeight="1">
      <c r="A192" s="8" t="s">
        <v>912</v>
      </c>
      <c r="B192" s="8" t="s">
        <v>913</v>
      </c>
      <c r="C192" s="8" t="s">
        <v>913</v>
      </c>
      <c r="E192" s="2" t="s">
        <v>914</v>
      </c>
      <c r="G192" s="2" t="s">
        <v>915</v>
      </c>
      <c r="H192" s="2" t="s">
        <v>916</v>
      </c>
      <c r="I192" s="2" t="s">
        <v>917</v>
      </c>
      <c r="K192" s="23">
        <v>1</v>
      </c>
    </row>
    <row r="193" spans="1:15" ht="18">
      <c r="A193" s="1" t="s">
        <v>918</v>
      </c>
      <c r="B193" s="1" t="s">
        <v>919</v>
      </c>
      <c r="C193" s="1" t="s">
        <v>919</v>
      </c>
      <c r="E193" t="s">
        <v>920</v>
      </c>
      <c r="G193" t="s">
        <v>921</v>
      </c>
      <c r="H193" t="s">
        <v>922</v>
      </c>
      <c r="I193" t="s">
        <v>923</v>
      </c>
      <c r="J193" t="s">
        <v>924</v>
      </c>
      <c r="L193" t="s">
        <v>925</v>
      </c>
    </row>
    <row r="194" spans="1:15" s="2" customFormat="1" ht="18">
      <c r="A194" s="8" t="s">
        <v>926</v>
      </c>
      <c r="B194" s="8" t="s">
        <v>927</v>
      </c>
      <c r="C194" s="8" t="s">
        <v>927</v>
      </c>
      <c r="E194" s="2" t="s">
        <v>928</v>
      </c>
      <c r="F194" s="8" t="s">
        <v>929</v>
      </c>
      <c r="G194" s="2" t="s">
        <v>930</v>
      </c>
      <c r="H194" s="2" t="s">
        <v>931</v>
      </c>
      <c r="I194" s="2" t="s">
        <v>932</v>
      </c>
      <c r="J194" s="2" t="s">
        <v>933</v>
      </c>
      <c r="L194" s="2" t="s">
        <v>934</v>
      </c>
      <c r="N194" s="2" t="s">
        <v>935</v>
      </c>
      <c r="O194" s="9" t="s">
        <v>936</v>
      </c>
    </row>
    <row r="195" spans="1:15" s="2" customFormat="1" ht="18" customHeight="1">
      <c r="A195" s="12" t="s">
        <v>937</v>
      </c>
      <c r="B195" s="13" t="s">
        <v>938</v>
      </c>
      <c r="C195" s="13" t="s">
        <v>938</v>
      </c>
      <c r="D195" s="2" t="s">
        <v>939</v>
      </c>
      <c r="E195" s="2" t="s">
        <v>940</v>
      </c>
      <c r="G195" s="2" t="s">
        <v>941</v>
      </c>
      <c r="H195" s="2" t="s">
        <v>942</v>
      </c>
      <c r="I195" s="2" t="s">
        <v>943</v>
      </c>
      <c r="J195" s="2" t="s">
        <v>944</v>
      </c>
      <c r="K195">
        <v>0</v>
      </c>
      <c r="L195" s="2" t="s">
        <v>945</v>
      </c>
    </row>
    <row r="196" spans="1:15" ht="18">
      <c r="A196" s="1" t="s">
        <v>946</v>
      </c>
      <c r="B196" s="1" t="s">
        <v>947</v>
      </c>
      <c r="C196" s="1" t="s">
        <v>947</v>
      </c>
      <c r="E196" s="1" t="s">
        <v>946</v>
      </c>
    </row>
    <row r="197" spans="1:15" ht="18">
      <c r="A197" s="1" t="s">
        <v>948</v>
      </c>
      <c r="B197" s="1" t="s">
        <v>949</v>
      </c>
      <c r="C197" s="1" t="s">
        <v>949</v>
      </c>
      <c r="E197" s="1" t="s">
        <v>948</v>
      </c>
    </row>
    <row r="198" spans="1:15" s="2" customFormat="1" ht="18" customHeight="1">
      <c r="A198" s="8" t="s">
        <v>950</v>
      </c>
      <c r="B198" s="8" t="s">
        <v>951</v>
      </c>
      <c r="C198" s="8" t="s">
        <v>951</v>
      </c>
      <c r="E198" s="2" t="s">
        <v>952</v>
      </c>
      <c r="F198" s="8" t="s">
        <v>953</v>
      </c>
      <c r="K198" s="23">
        <v>1</v>
      </c>
    </row>
    <row r="199" spans="1:15" ht="18" customHeight="1">
      <c r="A199" t="s">
        <v>954</v>
      </c>
      <c r="B199" s="1" t="s">
        <v>955</v>
      </c>
      <c r="C199" s="1" t="s">
        <v>955</v>
      </c>
      <c r="E199" t="s">
        <v>954</v>
      </c>
      <c r="F199" s="1" t="s">
        <v>752</v>
      </c>
      <c r="K199" s="23">
        <v>1</v>
      </c>
    </row>
    <row r="200" spans="1:15" ht="18" customHeight="1">
      <c r="A200" s="1" t="s">
        <v>956</v>
      </c>
      <c r="B200" s="1" t="s">
        <v>957</v>
      </c>
      <c r="C200" s="1" t="s">
        <v>957</v>
      </c>
      <c r="E200" t="s">
        <v>958</v>
      </c>
      <c r="K200" s="23">
        <v>1</v>
      </c>
    </row>
    <row r="201" spans="1:15" ht="18" customHeight="1">
      <c r="A201" s="1" t="s">
        <v>959</v>
      </c>
      <c r="B201" s="1" t="s">
        <v>960</v>
      </c>
      <c r="C201" s="1" t="s">
        <v>960</v>
      </c>
      <c r="E201" s="1" t="s">
        <v>959</v>
      </c>
      <c r="K201" s="23"/>
    </row>
    <row r="202" spans="1:15" ht="18">
      <c r="A202" s="1" t="s">
        <v>961</v>
      </c>
      <c r="B202" s="1" t="s">
        <v>962</v>
      </c>
      <c r="C202" s="1" t="s">
        <v>962</v>
      </c>
      <c r="E202" s="1" t="s">
        <v>961</v>
      </c>
    </row>
    <row r="203" spans="1:15" s="2" customFormat="1" ht="18" customHeight="1">
      <c r="A203" s="8" t="s">
        <v>963</v>
      </c>
      <c r="B203" s="8" t="s">
        <v>964</v>
      </c>
      <c r="C203" s="8" t="s">
        <v>964</v>
      </c>
      <c r="E203" s="2" t="s">
        <v>965</v>
      </c>
      <c r="G203" s="2" t="s">
        <v>966</v>
      </c>
      <c r="H203" s="2" t="s">
        <v>967</v>
      </c>
      <c r="I203" s="2" t="s">
        <v>968</v>
      </c>
      <c r="J203" s="2" t="s">
        <v>969</v>
      </c>
      <c r="K203" s="23">
        <v>1</v>
      </c>
      <c r="L203" s="2" t="s">
        <v>970</v>
      </c>
    </row>
    <row r="204" spans="1:15" s="2" customFormat="1" ht="18">
      <c r="A204" s="8" t="s">
        <v>971</v>
      </c>
      <c r="B204" s="8" t="s">
        <v>972</v>
      </c>
      <c r="C204" s="8" t="s">
        <v>972</v>
      </c>
      <c r="E204" s="2" t="s">
        <v>973</v>
      </c>
      <c r="G204" s="2" t="s">
        <v>974</v>
      </c>
      <c r="H204" s="2" t="s">
        <v>975</v>
      </c>
      <c r="I204" s="2" t="s">
        <v>976</v>
      </c>
      <c r="J204" s="2" t="s">
        <v>977</v>
      </c>
      <c r="L204" s="2" t="s">
        <v>978</v>
      </c>
      <c r="N204" s="2" t="s">
        <v>979</v>
      </c>
    </row>
    <row r="205" spans="1:15" s="2" customFormat="1" ht="18" customHeight="1">
      <c r="A205" s="8" t="s">
        <v>980</v>
      </c>
      <c r="B205" s="8" t="s">
        <v>981</v>
      </c>
      <c r="C205" s="8" t="s">
        <v>981</v>
      </c>
      <c r="E205" s="2" t="s">
        <v>980</v>
      </c>
      <c r="G205" s="2" t="s">
        <v>982</v>
      </c>
      <c r="H205" s="2" t="s">
        <v>983</v>
      </c>
      <c r="I205" s="2" t="s">
        <v>984</v>
      </c>
      <c r="J205" s="2" t="s">
        <v>985</v>
      </c>
      <c r="K205" s="23"/>
      <c r="L205" s="2" t="s">
        <v>986</v>
      </c>
    </row>
    <row r="206" spans="1:15" ht="18">
      <c r="A206" s="1" t="s">
        <v>987</v>
      </c>
      <c r="B206" t="s">
        <v>988</v>
      </c>
      <c r="C206" t="s">
        <v>988</v>
      </c>
      <c r="E206" t="s">
        <v>989</v>
      </c>
      <c r="K206" s="2">
        <v>0</v>
      </c>
      <c r="M206" s="2">
        <v>0</v>
      </c>
    </row>
    <row r="207" spans="1:15" ht="18" customHeight="1">
      <c r="A207" s="1" t="s">
        <v>990</v>
      </c>
      <c r="B207" s="1" t="s">
        <v>991</v>
      </c>
      <c r="C207" s="1" t="s">
        <v>991</v>
      </c>
      <c r="E207" t="s">
        <v>992</v>
      </c>
      <c r="K207" s="23">
        <v>1</v>
      </c>
    </row>
    <row r="208" spans="1:15" s="2" customFormat="1" ht="18" customHeight="1">
      <c r="A208" s="2" t="s">
        <v>993</v>
      </c>
      <c r="B208" s="8" t="s">
        <v>994</v>
      </c>
      <c r="C208" s="8" t="s">
        <v>994</v>
      </c>
      <c r="E208" s="2" t="s">
        <v>995</v>
      </c>
      <c r="F208" s="2" t="s">
        <v>996</v>
      </c>
      <c r="G208" s="2" t="s">
        <v>997</v>
      </c>
      <c r="H208" s="2" t="s">
        <v>998</v>
      </c>
      <c r="I208" s="2" t="s">
        <v>999</v>
      </c>
      <c r="J208" s="2" t="s">
        <v>1000</v>
      </c>
      <c r="K208" s="23">
        <v>1</v>
      </c>
    </row>
    <row r="209" spans="1:14" ht="18">
      <c r="A209" s="1" t="s">
        <v>1001</v>
      </c>
      <c r="B209" s="1" t="s">
        <v>1002</v>
      </c>
      <c r="C209" s="1" t="s">
        <v>1002</v>
      </c>
      <c r="E209" t="s">
        <v>1003</v>
      </c>
      <c r="G209" t="s">
        <v>1004</v>
      </c>
      <c r="H209" t="s">
        <v>1005</v>
      </c>
      <c r="I209" t="s">
        <v>1006</v>
      </c>
      <c r="J209" t="s">
        <v>1007</v>
      </c>
      <c r="L209" t="s">
        <v>1008</v>
      </c>
    </row>
    <row r="210" spans="1:14" s="2" customFormat="1" ht="18">
      <c r="A210" s="8" t="s">
        <v>1009</v>
      </c>
      <c r="B210" s="2" t="s">
        <v>1010</v>
      </c>
      <c r="C210" s="2" t="s">
        <v>1010</v>
      </c>
      <c r="E210" s="2" t="s">
        <v>1011</v>
      </c>
      <c r="G210" s="2" t="s">
        <v>1012</v>
      </c>
      <c r="H210" s="2" t="s">
        <v>1013</v>
      </c>
      <c r="I210" s="2" t="s">
        <v>1014</v>
      </c>
      <c r="J210" s="2" t="s">
        <v>1015</v>
      </c>
      <c r="L210" s="2" t="s">
        <v>1016</v>
      </c>
    </row>
    <row r="211" spans="1:14" ht="18">
      <c r="A211" s="1" t="s">
        <v>1017</v>
      </c>
      <c r="B211" s="1" t="s">
        <v>1018</v>
      </c>
      <c r="C211" s="1" t="s">
        <v>1018</v>
      </c>
      <c r="E211" t="s">
        <v>1019</v>
      </c>
      <c r="F211" t="s">
        <v>1020</v>
      </c>
      <c r="G211" t="s">
        <v>1021</v>
      </c>
      <c r="H211" t="s">
        <v>1022</v>
      </c>
      <c r="I211" t="s">
        <v>1023</v>
      </c>
      <c r="J211" t="s">
        <v>1024</v>
      </c>
      <c r="K211"/>
      <c r="L211" t="s">
        <v>1025</v>
      </c>
      <c r="M211"/>
    </row>
    <row r="212" spans="1:14" ht="18">
      <c r="A212" s="1" t="s">
        <v>1026</v>
      </c>
      <c r="B212" t="s">
        <v>1027</v>
      </c>
      <c r="C212" t="s">
        <v>1027</v>
      </c>
      <c r="E212" t="s">
        <v>1028</v>
      </c>
      <c r="K212"/>
      <c r="M212"/>
    </row>
    <row r="213" spans="1:14" ht="18">
      <c r="A213" s="1" t="s">
        <v>1029</v>
      </c>
      <c r="B213" s="1" t="s">
        <v>1030</v>
      </c>
      <c r="C213" s="1" t="s">
        <v>1030</v>
      </c>
      <c r="E213" s="1" t="s">
        <v>1029</v>
      </c>
    </row>
    <row r="214" spans="1:14" ht="18">
      <c r="A214" s="1" t="s">
        <v>1031</v>
      </c>
      <c r="B214" t="s">
        <v>1032</v>
      </c>
      <c r="C214" t="s">
        <v>1032</v>
      </c>
      <c r="E214" t="s">
        <v>1033</v>
      </c>
      <c r="G214" t="s">
        <v>1034</v>
      </c>
      <c r="H214" t="s">
        <v>1035</v>
      </c>
      <c r="I214" t="s">
        <v>1036</v>
      </c>
      <c r="J214" t="s">
        <v>1037</v>
      </c>
      <c r="L214" t="s">
        <v>1038</v>
      </c>
    </row>
    <row r="215" spans="1:14" s="2" customFormat="1" ht="18">
      <c r="A215" s="8" t="s">
        <v>1039</v>
      </c>
      <c r="B215" s="2" t="s">
        <v>1039</v>
      </c>
      <c r="C215" s="2" t="s">
        <v>1039</v>
      </c>
      <c r="E215" s="2" t="s">
        <v>1040</v>
      </c>
      <c r="G215" s="2" t="s">
        <v>1041</v>
      </c>
      <c r="H215" s="2" t="s">
        <v>1042</v>
      </c>
      <c r="I215" s="2" t="s">
        <v>1043</v>
      </c>
      <c r="J215" s="2" t="s">
        <v>1044</v>
      </c>
      <c r="L215" s="2" t="s">
        <v>1045</v>
      </c>
      <c r="N215" s="2" t="s">
        <v>1046</v>
      </c>
    </row>
    <row r="216" spans="1:14" ht="18">
      <c r="A216" s="1"/>
    </row>
    <row r="217" spans="1:14" ht="18">
      <c r="A217" s="1"/>
    </row>
    <row r="218" spans="1:14" ht="18">
      <c r="A218" s="1"/>
    </row>
  </sheetData>
  <phoneticPr fontId="1" type="noConversion"/>
  <conditionalFormatting sqref="A195">
    <cfRule type="duplicateValues" dxfId="61" priority="25"/>
    <cfRule type="duplicateValues" dxfId="60" priority="26"/>
    <cfRule type="duplicateValues" dxfId="59" priority="27"/>
  </conditionalFormatting>
  <conditionalFormatting sqref="A206">
    <cfRule type="duplicateValues" dxfId="58" priority="40"/>
  </conditionalFormatting>
  <conditionalFormatting sqref="A237:A1048576 A207:A218 A1:A101 A196:A205 A103:A194">
    <cfRule type="duplicateValues" dxfId="57" priority="82"/>
  </conditionalFormatting>
  <conditionalFormatting sqref="A352:A1048576 G36 A207:A218 A1:A101 A196:A205 A103:A194">
    <cfRule type="duplicateValues" dxfId="56" priority="70"/>
    <cfRule type="duplicateValues" dxfId="55" priority="71"/>
  </conditionalFormatting>
  <conditionalFormatting sqref="E35">
    <cfRule type="duplicateValues" dxfId="54" priority="66"/>
    <cfRule type="duplicateValues" dxfId="53" priority="67"/>
  </conditionalFormatting>
  <conditionalFormatting sqref="E36 K36">
    <cfRule type="duplicateValues" dxfId="52" priority="64"/>
    <cfRule type="duplicateValues" dxfId="51" priority="65"/>
  </conditionalFormatting>
  <conditionalFormatting sqref="E38:E40">
    <cfRule type="duplicateValues" dxfId="50" priority="62"/>
    <cfRule type="duplicateValues" dxfId="49" priority="63"/>
  </conditionalFormatting>
  <conditionalFormatting sqref="E53">
    <cfRule type="duplicateValues" dxfId="48" priority="60"/>
    <cfRule type="duplicateValues" dxfId="47" priority="61"/>
  </conditionalFormatting>
  <conditionalFormatting sqref="E63">
    <cfRule type="duplicateValues" dxfId="46" priority="58"/>
    <cfRule type="duplicateValues" dxfId="45" priority="59"/>
  </conditionalFormatting>
  <conditionalFormatting sqref="E68">
    <cfRule type="duplicateValues" dxfId="44" priority="56"/>
    <cfRule type="duplicateValues" dxfId="43" priority="57"/>
  </conditionalFormatting>
  <conditionalFormatting sqref="E79">
    <cfRule type="duplicateValues" dxfId="42" priority="54"/>
    <cfRule type="duplicateValues" dxfId="41" priority="55"/>
  </conditionalFormatting>
  <conditionalFormatting sqref="E109">
    <cfRule type="duplicateValues" dxfId="40" priority="52"/>
    <cfRule type="duplicateValues" dxfId="39" priority="53"/>
  </conditionalFormatting>
  <conditionalFormatting sqref="E160">
    <cfRule type="duplicateValues" dxfId="38" priority="10"/>
    <cfRule type="duplicateValues" dxfId="37" priority="11"/>
    <cfRule type="duplicateValues" dxfId="36" priority="12"/>
  </conditionalFormatting>
  <conditionalFormatting sqref="E186">
    <cfRule type="duplicateValues" dxfId="35" priority="19"/>
    <cfRule type="duplicateValues" dxfId="34" priority="20"/>
    <cfRule type="duplicateValues" dxfId="33" priority="21"/>
  </conditionalFormatting>
  <conditionalFormatting sqref="E188">
    <cfRule type="duplicateValues" dxfId="32" priority="22"/>
    <cfRule type="duplicateValues" dxfId="31" priority="23"/>
    <cfRule type="duplicateValues" dxfId="30" priority="24"/>
  </conditionalFormatting>
  <conditionalFormatting sqref="E196">
    <cfRule type="duplicateValues" dxfId="29" priority="28"/>
    <cfRule type="duplicateValues" dxfId="28" priority="29"/>
    <cfRule type="duplicateValues" dxfId="27" priority="30"/>
  </conditionalFormatting>
  <conditionalFormatting sqref="E197">
    <cfRule type="duplicateValues" dxfId="26" priority="31"/>
    <cfRule type="duplicateValues" dxfId="25" priority="32"/>
    <cfRule type="duplicateValues" dxfId="24" priority="33"/>
  </conditionalFormatting>
  <conditionalFormatting sqref="E201">
    <cfRule type="duplicateValues" dxfId="23" priority="37"/>
    <cfRule type="duplicateValues" dxfId="22" priority="38"/>
    <cfRule type="duplicateValues" dxfId="21" priority="39"/>
  </conditionalFormatting>
  <conditionalFormatting sqref="E202">
    <cfRule type="duplicateValues" dxfId="20" priority="34"/>
    <cfRule type="duplicateValues" dxfId="19" priority="35"/>
    <cfRule type="duplicateValues" dxfId="18" priority="36"/>
  </conditionalFormatting>
  <conditionalFormatting sqref="E213">
    <cfRule type="duplicateValues" dxfId="17" priority="41"/>
    <cfRule type="duplicateValues" dxfId="16" priority="42"/>
    <cfRule type="duplicateValues" dxfId="15" priority="43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86"/>
  <sheetViews>
    <sheetView workbookViewId="0">
      <selection activeCell="A13" sqref="A13:XFD13"/>
    </sheetView>
  </sheetViews>
  <sheetFormatPr baseColWidth="10" defaultColWidth="8.83203125" defaultRowHeight="15"/>
  <cols>
    <col min="1" max="1" width="12.6640625" customWidth="1"/>
    <col min="2" max="2" width="24.1640625" customWidth="1"/>
    <col min="5" max="5" width="15.5" customWidth="1"/>
    <col min="6" max="6" width="23.6640625" customWidth="1"/>
    <col min="8" max="8" width="15.1640625" customWidth="1"/>
    <col min="11" max="11" width="8.6640625" style="2"/>
    <col min="12" max="12" width="65.83203125" customWidth="1"/>
    <col min="13" max="13" width="8.6640625" style="2"/>
  </cols>
  <sheetData>
    <row r="1" spans="1:14" ht="18" customHeight="1">
      <c r="A1" s="1" t="s">
        <v>1047</v>
      </c>
      <c r="B1" t="s">
        <v>1048</v>
      </c>
      <c r="C1" t="s">
        <v>1048</v>
      </c>
      <c r="E1" t="s">
        <v>1049</v>
      </c>
      <c r="G1" t="s">
        <v>1050</v>
      </c>
      <c r="H1" t="s">
        <v>1051</v>
      </c>
      <c r="J1" t="s">
        <v>1052</v>
      </c>
      <c r="K1" s="2">
        <v>0</v>
      </c>
      <c r="M1" s="2">
        <v>0</v>
      </c>
    </row>
    <row r="2" spans="1:14" s="2" customFormat="1" ht="18" customHeight="1">
      <c r="A2" s="12" t="s">
        <v>1053</v>
      </c>
      <c r="B2" s="2" t="s">
        <v>1054</v>
      </c>
      <c r="C2" s="2" t="s">
        <v>1054</v>
      </c>
      <c r="E2" s="2" t="s">
        <v>1055</v>
      </c>
      <c r="G2" s="2" t="s">
        <v>1056</v>
      </c>
      <c r="H2" s="2" t="s">
        <v>1057</v>
      </c>
      <c r="I2" s="2" t="s">
        <v>1058</v>
      </c>
      <c r="J2" s="2" t="s">
        <v>1059</v>
      </c>
      <c r="K2" s="2">
        <v>0</v>
      </c>
      <c r="L2" s="6" t="s">
        <v>1060</v>
      </c>
    </row>
    <row r="3" spans="1:14" ht="18" customHeight="1">
      <c r="A3" s="1" t="s">
        <v>1061</v>
      </c>
      <c r="B3" s="1" t="s">
        <v>1062</v>
      </c>
      <c r="C3" s="1" t="s">
        <v>1062</v>
      </c>
      <c r="E3" t="s">
        <v>1063</v>
      </c>
      <c r="K3" s="2">
        <v>0</v>
      </c>
      <c r="M3" s="2">
        <v>0</v>
      </c>
    </row>
    <row r="4" spans="1:14" ht="18">
      <c r="A4" s="1" t="s">
        <v>1064</v>
      </c>
      <c r="B4" s="1" t="s">
        <v>1065</v>
      </c>
      <c r="C4" s="1" t="s">
        <v>1065</v>
      </c>
      <c r="E4" t="s">
        <v>1066</v>
      </c>
      <c r="G4" t="s">
        <v>1067</v>
      </c>
      <c r="H4" t="s">
        <v>1068</v>
      </c>
      <c r="K4" s="2">
        <v>0</v>
      </c>
      <c r="L4" t="s">
        <v>1069</v>
      </c>
      <c r="M4" s="2">
        <v>0</v>
      </c>
    </row>
    <row r="5" spans="1:14" s="2" customFormat="1" ht="18">
      <c r="A5" s="2" t="s">
        <v>1070</v>
      </c>
      <c r="B5" s="8" t="s">
        <v>1071</v>
      </c>
      <c r="C5" s="8" t="s">
        <v>1071</v>
      </c>
      <c r="E5" s="2" t="s">
        <v>1072</v>
      </c>
      <c r="F5" s="2" t="s">
        <v>1073</v>
      </c>
      <c r="G5" s="2" t="s">
        <v>1074</v>
      </c>
      <c r="H5" s="2" t="s">
        <v>1075</v>
      </c>
      <c r="I5" s="2" t="s">
        <v>1076</v>
      </c>
      <c r="J5" s="2" t="s">
        <v>1077</v>
      </c>
      <c r="K5" s="2">
        <v>0</v>
      </c>
      <c r="L5" s="2" t="s">
        <v>1078</v>
      </c>
      <c r="M5" s="2">
        <v>0</v>
      </c>
      <c r="N5" s="2" t="s">
        <v>1079</v>
      </c>
    </row>
    <row r="6" spans="1:14" ht="18">
      <c r="A6" s="1" t="s">
        <v>1080</v>
      </c>
      <c r="B6" s="1" t="s">
        <v>1071</v>
      </c>
      <c r="C6" s="1" t="s">
        <v>1071</v>
      </c>
      <c r="E6" t="s">
        <v>1081</v>
      </c>
      <c r="G6" s="11" t="s">
        <v>1082</v>
      </c>
      <c r="H6" s="1" t="s">
        <v>1083</v>
      </c>
      <c r="I6" s="1" t="s">
        <v>1084</v>
      </c>
      <c r="J6" t="s">
        <v>1085</v>
      </c>
      <c r="K6" s="2">
        <v>0</v>
      </c>
      <c r="M6" s="2">
        <v>0</v>
      </c>
    </row>
    <row r="7" spans="1:14" ht="18">
      <c r="A7" s="1" t="s">
        <v>1086</v>
      </c>
      <c r="B7" s="1" t="s">
        <v>1087</v>
      </c>
      <c r="C7" s="1" t="s">
        <v>1087</v>
      </c>
      <c r="E7" t="s">
        <v>1088</v>
      </c>
      <c r="G7" t="s">
        <v>1089</v>
      </c>
      <c r="H7" t="s">
        <v>1090</v>
      </c>
      <c r="I7" t="s">
        <v>1091</v>
      </c>
      <c r="J7" t="s">
        <v>1092</v>
      </c>
      <c r="K7" s="2">
        <v>0</v>
      </c>
      <c r="M7" s="2">
        <v>0</v>
      </c>
    </row>
    <row r="8" spans="1:14" ht="18">
      <c r="A8" s="1" t="s">
        <v>1093</v>
      </c>
      <c r="B8" s="1" t="s">
        <v>1094</v>
      </c>
      <c r="C8" s="1" t="s">
        <v>1094</v>
      </c>
      <c r="E8" t="s">
        <v>1095</v>
      </c>
      <c r="F8" t="s">
        <v>1096</v>
      </c>
      <c r="G8" t="s">
        <v>1097</v>
      </c>
      <c r="H8" t="s">
        <v>1098</v>
      </c>
      <c r="I8" t="s">
        <v>1099</v>
      </c>
      <c r="J8" t="s">
        <v>1100</v>
      </c>
      <c r="K8" s="2">
        <v>0</v>
      </c>
      <c r="M8" s="2">
        <v>0</v>
      </c>
    </row>
    <row r="9" spans="1:14" s="2" customFormat="1" ht="18">
      <c r="A9" s="8" t="s">
        <v>1101</v>
      </c>
      <c r="B9" s="8" t="s">
        <v>1102</v>
      </c>
      <c r="C9" s="8" t="s">
        <v>1102</v>
      </c>
      <c r="E9" s="2" t="s">
        <v>1103</v>
      </c>
      <c r="G9" s="2" t="s">
        <v>1104</v>
      </c>
      <c r="H9" s="2" t="s">
        <v>1105</v>
      </c>
      <c r="I9" s="2" t="s">
        <v>1106</v>
      </c>
      <c r="J9" s="2" t="s">
        <v>1107</v>
      </c>
      <c r="K9" s="2">
        <v>0</v>
      </c>
      <c r="L9" s="2" t="s">
        <v>1108</v>
      </c>
      <c r="M9" s="2">
        <v>0</v>
      </c>
      <c r="N9" s="2" t="s">
        <v>1109</v>
      </c>
    </row>
    <row r="10" spans="1:14" ht="18">
      <c r="A10" s="14" t="s">
        <v>1110</v>
      </c>
      <c r="B10" s="25" t="s">
        <v>1111</v>
      </c>
      <c r="C10" s="25" t="s">
        <v>1111</v>
      </c>
      <c r="E10" t="s">
        <v>1112</v>
      </c>
      <c r="G10" t="s">
        <v>1113</v>
      </c>
      <c r="H10" t="s">
        <v>1114</v>
      </c>
      <c r="I10" t="s">
        <v>1115</v>
      </c>
      <c r="K10" s="2">
        <v>0</v>
      </c>
      <c r="M10" s="2">
        <v>0</v>
      </c>
    </row>
    <row r="11" spans="1:14" s="2" customFormat="1" ht="18">
      <c r="A11" s="8" t="s">
        <v>1116</v>
      </c>
      <c r="B11" s="2" t="s">
        <v>1117</v>
      </c>
      <c r="C11" s="2" t="s">
        <v>1117</v>
      </c>
      <c r="E11" s="2" t="s">
        <v>1118</v>
      </c>
      <c r="G11" s="2" t="s">
        <v>1119</v>
      </c>
      <c r="H11" s="2" t="s">
        <v>1120</v>
      </c>
      <c r="I11" s="2" t="s">
        <v>1121</v>
      </c>
      <c r="K11" s="2">
        <v>0</v>
      </c>
      <c r="L11" s="2" t="s">
        <v>1122</v>
      </c>
      <c r="M11" s="2">
        <v>0</v>
      </c>
    </row>
    <row r="12" spans="1:14" ht="18">
      <c r="A12" s="1" t="s">
        <v>1123</v>
      </c>
      <c r="B12" t="s">
        <v>1124</v>
      </c>
      <c r="C12" t="s">
        <v>1124</v>
      </c>
      <c r="E12" t="s">
        <v>1125</v>
      </c>
      <c r="K12" s="2">
        <v>0</v>
      </c>
      <c r="M12" s="2">
        <v>0</v>
      </c>
    </row>
    <row r="13" spans="1:14" ht="18">
      <c r="A13" s="1" t="s">
        <v>1126</v>
      </c>
      <c r="B13" t="s">
        <v>1127</v>
      </c>
      <c r="C13" t="s">
        <v>1127</v>
      </c>
      <c r="E13" t="s">
        <v>1128</v>
      </c>
      <c r="K13" s="2">
        <v>0</v>
      </c>
      <c r="M13" s="2">
        <v>0</v>
      </c>
    </row>
    <row r="14" spans="1:14" ht="18">
      <c r="A14" s="1" t="s">
        <v>1129</v>
      </c>
      <c r="B14" t="s">
        <v>1130</v>
      </c>
      <c r="C14" t="s">
        <v>1130</v>
      </c>
      <c r="E14" t="s">
        <v>1131</v>
      </c>
      <c r="K14" s="2">
        <v>0</v>
      </c>
      <c r="M14" s="2">
        <v>0</v>
      </c>
    </row>
    <row r="15" spans="1:14" ht="18">
      <c r="A15" s="1" t="s">
        <v>1132</v>
      </c>
      <c r="B15" t="s">
        <v>1133</v>
      </c>
      <c r="C15" t="s">
        <v>1133</v>
      </c>
      <c r="E15" t="s">
        <v>1134</v>
      </c>
      <c r="K15" s="2">
        <v>0</v>
      </c>
      <c r="M15" s="2">
        <v>0</v>
      </c>
    </row>
    <row r="16" spans="1:14">
      <c r="A16" t="s">
        <v>1135</v>
      </c>
      <c r="B16" t="s">
        <v>1136</v>
      </c>
      <c r="C16" t="s">
        <v>1136</v>
      </c>
      <c r="E16" t="s">
        <v>1137</v>
      </c>
      <c r="K16" s="2">
        <v>0</v>
      </c>
      <c r="M16" s="2">
        <v>0</v>
      </c>
    </row>
    <row r="17" spans="1:14" ht="18">
      <c r="A17" s="1" t="s">
        <v>1138</v>
      </c>
      <c r="B17" t="s">
        <v>1139</v>
      </c>
      <c r="C17" t="s">
        <v>1139</v>
      </c>
      <c r="E17" t="s">
        <v>1140</v>
      </c>
      <c r="K17" s="2">
        <v>0</v>
      </c>
      <c r="M17" s="2">
        <v>0</v>
      </c>
    </row>
    <row r="18" spans="1:14" ht="18">
      <c r="A18" s="24" t="s">
        <v>1141</v>
      </c>
      <c r="B18" s="28" t="s">
        <v>1142</v>
      </c>
      <c r="C18" s="14" t="s">
        <v>1142</v>
      </c>
      <c r="E18" t="s">
        <v>1143</v>
      </c>
      <c r="K18" s="2">
        <v>0</v>
      </c>
      <c r="M18" s="2">
        <v>0</v>
      </c>
    </row>
    <row r="19" spans="1:14" ht="18">
      <c r="A19" s="1" t="s">
        <v>1144</v>
      </c>
      <c r="B19" t="s">
        <v>1145</v>
      </c>
      <c r="C19" t="s">
        <v>1145</v>
      </c>
      <c r="E19" t="s">
        <v>1146</v>
      </c>
      <c r="K19" s="2">
        <v>0</v>
      </c>
      <c r="M19" s="2">
        <v>0</v>
      </c>
    </row>
    <row r="20" spans="1:14">
      <c r="A20" t="s">
        <v>1147</v>
      </c>
      <c r="B20" t="s">
        <v>1148</v>
      </c>
      <c r="C20" t="s">
        <v>1148</v>
      </c>
      <c r="E20" t="s">
        <v>1149</v>
      </c>
      <c r="K20" s="2">
        <v>0</v>
      </c>
      <c r="M20" s="2">
        <v>0</v>
      </c>
    </row>
    <row r="21" spans="1:14" ht="18">
      <c r="A21" s="1" t="s">
        <v>1150</v>
      </c>
      <c r="B21" t="s">
        <v>1151</v>
      </c>
      <c r="C21" t="s">
        <v>1151</v>
      </c>
      <c r="E21" t="s">
        <v>1152</v>
      </c>
      <c r="K21" s="2">
        <v>0</v>
      </c>
      <c r="M21" s="2">
        <v>0</v>
      </c>
    </row>
    <row r="22" spans="1:14" ht="18">
      <c r="A22" s="1" t="s">
        <v>1153</v>
      </c>
      <c r="B22" t="s">
        <v>1154</v>
      </c>
      <c r="C22" t="s">
        <v>1154</v>
      </c>
      <c r="E22" t="s">
        <v>1140</v>
      </c>
      <c r="K22" s="2">
        <v>0</v>
      </c>
      <c r="M22" s="2">
        <v>0</v>
      </c>
    </row>
    <row r="23" spans="1:14">
      <c r="A23" t="s">
        <v>1155</v>
      </c>
      <c r="B23" t="s">
        <v>1156</v>
      </c>
      <c r="C23" t="s">
        <v>1156</v>
      </c>
      <c r="E23" t="s">
        <v>1157</v>
      </c>
      <c r="F23" t="s">
        <v>1158</v>
      </c>
      <c r="K23" s="2">
        <v>0</v>
      </c>
      <c r="M23" s="2">
        <v>0</v>
      </c>
    </row>
    <row r="24" spans="1:14" ht="18">
      <c r="A24" s="10" t="s">
        <v>1159</v>
      </c>
      <c r="B24" t="s">
        <v>988</v>
      </c>
      <c r="C24" t="s">
        <v>988</v>
      </c>
      <c r="E24" t="s">
        <v>989</v>
      </c>
      <c r="K24" s="2">
        <v>0</v>
      </c>
      <c r="M24" s="2">
        <v>0</v>
      </c>
    </row>
    <row r="25" spans="1:14" ht="18">
      <c r="A25" s="1" t="s">
        <v>1160</v>
      </c>
      <c r="B25" t="s">
        <v>1161</v>
      </c>
      <c r="C25" t="s">
        <v>1161</v>
      </c>
      <c r="E25" t="s">
        <v>1162</v>
      </c>
      <c r="K25" s="2">
        <v>0</v>
      </c>
      <c r="M25" s="2">
        <v>0</v>
      </c>
    </row>
    <row r="26" spans="1:14" ht="18">
      <c r="A26" s="1" t="s">
        <v>1163</v>
      </c>
      <c r="B26" t="s">
        <v>1164</v>
      </c>
      <c r="C26" t="s">
        <v>1164</v>
      </c>
      <c r="E26" t="s">
        <v>1165</v>
      </c>
      <c r="K26" s="2">
        <v>0</v>
      </c>
      <c r="M26" s="2">
        <v>0</v>
      </c>
    </row>
    <row r="27" spans="1:14" s="2" customFormat="1" ht="18">
      <c r="A27" s="8" t="s">
        <v>1166</v>
      </c>
      <c r="B27" s="2" t="s">
        <v>1167</v>
      </c>
      <c r="C27" s="2" t="s">
        <v>1167</v>
      </c>
      <c r="E27" s="2" t="s">
        <v>1168</v>
      </c>
      <c r="G27" s="2" t="s">
        <v>1169</v>
      </c>
      <c r="H27" s="2" t="s">
        <v>1170</v>
      </c>
      <c r="I27" s="2" t="s">
        <v>1171</v>
      </c>
      <c r="J27" s="2" t="s">
        <v>1172</v>
      </c>
      <c r="K27" s="2">
        <v>0</v>
      </c>
      <c r="L27" s="2" t="s">
        <v>1173</v>
      </c>
      <c r="M27" s="2">
        <v>0</v>
      </c>
    </row>
    <row r="28" spans="1:14" s="2" customFormat="1" ht="18">
      <c r="A28" s="8" t="s">
        <v>1174</v>
      </c>
      <c r="B28" s="2" t="s">
        <v>1175</v>
      </c>
      <c r="C28" s="2" t="s">
        <v>1175</v>
      </c>
      <c r="E28" s="2" t="s">
        <v>1176</v>
      </c>
      <c r="F28" s="2" t="s">
        <v>1177</v>
      </c>
      <c r="G28" s="2" t="s">
        <v>1178</v>
      </c>
      <c r="H28" s="2" t="s">
        <v>1179</v>
      </c>
      <c r="I28" s="2" t="s">
        <v>1180</v>
      </c>
      <c r="J28" s="2" t="s">
        <v>1181</v>
      </c>
      <c r="K28" s="2">
        <v>0</v>
      </c>
      <c r="L28" s="2" t="s">
        <v>1182</v>
      </c>
      <c r="M28" s="2">
        <v>0</v>
      </c>
      <c r="N28" s="2" t="s">
        <v>1183</v>
      </c>
    </row>
    <row r="29" spans="1:14" ht="145">
      <c r="A29" s="10" t="s">
        <v>1184</v>
      </c>
      <c r="B29" s="4" t="s">
        <v>1185</v>
      </c>
      <c r="C29" s="4" t="s">
        <v>1185</v>
      </c>
      <c r="E29" t="s">
        <v>3897</v>
      </c>
      <c r="F29" t="s">
        <v>3902</v>
      </c>
      <c r="G29" t="s">
        <v>1186</v>
      </c>
      <c r="H29" t="s">
        <v>3901</v>
      </c>
      <c r="I29" t="s">
        <v>3900</v>
      </c>
      <c r="J29" t="s">
        <v>3899</v>
      </c>
      <c r="K29" s="2">
        <v>0</v>
      </c>
      <c r="L29" s="18" t="s">
        <v>3898</v>
      </c>
      <c r="M29" s="2">
        <v>0</v>
      </c>
      <c r="N29" t="s">
        <v>1187</v>
      </c>
    </row>
    <row r="30" spans="1:14" s="2" customFormat="1" ht="18">
      <c r="A30" s="8" t="s">
        <v>1188</v>
      </c>
      <c r="B30" s="8" t="s">
        <v>1189</v>
      </c>
      <c r="C30" s="8" t="s">
        <v>1189</v>
      </c>
      <c r="E30" s="2" t="s">
        <v>1190</v>
      </c>
      <c r="F30" s="2" t="s">
        <v>1191</v>
      </c>
      <c r="G30" s="2" t="s">
        <v>1192</v>
      </c>
      <c r="H30" s="2" t="s">
        <v>1193</v>
      </c>
      <c r="I30" s="2" t="s">
        <v>1194</v>
      </c>
      <c r="J30" s="2" t="s">
        <v>1195</v>
      </c>
      <c r="K30" s="2">
        <v>0</v>
      </c>
      <c r="L30" s="2" t="s">
        <v>1196</v>
      </c>
      <c r="M30" s="2">
        <v>0</v>
      </c>
    </row>
    <row r="31" spans="1:14" ht="18">
      <c r="A31" s="1" t="s">
        <v>1197</v>
      </c>
      <c r="B31" s="1" t="s">
        <v>1198</v>
      </c>
      <c r="C31" s="1" t="s">
        <v>1198</v>
      </c>
      <c r="E31" t="s">
        <v>1199</v>
      </c>
      <c r="K31" s="2">
        <v>0</v>
      </c>
      <c r="M31" s="2">
        <v>0</v>
      </c>
    </row>
    <row r="32" spans="1:14" ht="18">
      <c r="A32" s="1" t="s">
        <v>1200</v>
      </c>
      <c r="B32" t="s">
        <v>1201</v>
      </c>
      <c r="C32" t="s">
        <v>1201</v>
      </c>
      <c r="E32" t="s">
        <v>1202</v>
      </c>
      <c r="K32" s="2">
        <v>0</v>
      </c>
      <c r="M32" s="2">
        <v>0</v>
      </c>
    </row>
    <row r="33" spans="1:15" ht="18">
      <c r="A33" s="1" t="s">
        <v>1203</v>
      </c>
      <c r="B33" t="s">
        <v>1204</v>
      </c>
      <c r="C33" t="s">
        <v>1204</v>
      </c>
      <c r="E33" t="s">
        <v>1205</v>
      </c>
      <c r="F33" t="s">
        <v>1206</v>
      </c>
      <c r="K33" s="2">
        <v>0</v>
      </c>
      <c r="M33" s="2">
        <v>0</v>
      </c>
    </row>
    <row r="34" spans="1:15" ht="18">
      <c r="A34" s="1" t="s">
        <v>1207</v>
      </c>
      <c r="B34" t="s">
        <v>1208</v>
      </c>
      <c r="C34" t="s">
        <v>1208</v>
      </c>
      <c r="E34" t="s">
        <v>1209</v>
      </c>
      <c r="K34" s="2">
        <v>0</v>
      </c>
      <c r="M34" s="2">
        <v>0</v>
      </c>
    </row>
    <row r="35" spans="1:15" ht="18">
      <c r="A35" s="1" t="s">
        <v>1210</v>
      </c>
      <c r="B35" t="s">
        <v>1211</v>
      </c>
      <c r="C35" t="s">
        <v>1211</v>
      </c>
      <c r="E35" t="s">
        <v>1212</v>
      </c>
      <c r="K35" s="2">
        <v>0</v>
      </c>
      <c r="M35" s="2">
        <v>0</v>
      </c>
    </row>
    <row r="36" spans="1:15" ht="18">
      <c r="A36" s="1" t="s">
        <v>1213</v>
      </c>
      <c r="B36" t="s">
        <v>1214</v>
      </c>
      <c r="C36" t="s">
        <v>1214</v>
      </c>
      <c r="E36" t="s">
        <v>1215</v>
      </c>
      <c r="K36" s="2">
        <v>0</v>
      </c>
      <c r="M36" s="2">
        <v>0</v>
      </c>
    </row>
    <row r="37" spans="1:15" ht="18">
      <c r="A37" s="1" t="s">
        <v>1216</v>
      </c>
      <c r="B37" s="1" t="s">
        <v>1217</v>
      </c>
      <c r="C37" s="1" t="s">
        <v>1217</v>
      </c>
      <c r="E37" t="s">
        <v>1218</v>
      </c>
      <c r="K37" s="2">
        <v>0</v>
      </c>
      <c r="M37" s="2">
        <v>0</v>
      </c>
    </row>
    <row r="38" spans="1:15" ht="18" customHeight="1">
      <c r="A38" s="10" t="s">
        <v>1219</v>
      </c>
      <c r="B38" s="1" t="s">
        <v>1220</v>
      </c>
      <c r="C38" s="10" t="s">
        <v>1221</v>
      </c>
      <c r="E38" t="s">
        <v>1222</v>
      </c>
      <c r="K38"/>
      <c r="M38"/>
    </row>
    <row r="39" spans="1:15" s="2" customFormat="1" ht="18">
      <c r="A39" s="12" t="s">
        <v>1223</v>
      </c>
      <c r="B39" s="12" t="s">
        <v>1224</v>
      </c>
      <c r="C39" s="12" t="s">
        <v>1224</v>
      </c>
      <c r="E39" s="2" t="s">
        <v>1225</v>
      </c>
      <c r="G39" s="2" t="s">
        <v>1226</v>
      </c>
      <c r="H39" s="2" t="s">
        <v>1227</v>
      </c>
      <c r="I39" s="2" t="s">
        <v>1228</v>
      </c>
      <c r="J39" s="2" t="s">
        <v>1229</v>
      </c>
      <c r="K39" s="2">
        <v>0</v>
      </c>
      <c r="L39" s="2" t="s">
        <v>1230</v>
      </c>
      <c r="M39" s="2">
        <v>1</v>
      </c>
      <c r="N39" s="2" t="s">
        <v>1231</v>
      </c>
      <c r="O39" s="2" t="s">
        <v>1232</v>
      </c>
    </row>
    <row r="40" spans="1:15" ht="18">
      <c r="A40" s="1" t="s">
        <v>1233</v>
      </c>
      <c r="B40" t="s">
        <v>1234</v>
      </c>
      <c r="C40" t="s">
        <v>1234</v>
      </c>
      <c r="E40" t="s">
        <v>1235</v>
      </c>
      <c r="K40" s="2">
        <v>0</v>
      </c>
      <c r="M40" s="2">
        <v>0</v>
      </c>
    </row>
    <row r="41" spans="1:15" ht="18">
      <c r="A41" s="1" t="s">
        <v>1236</v>
      </c>
      <c r="B41" t="s">
        <v>1237</v>
      </c>
      <c r="C41" t="s">
        <v>1237</v>
      </c>
      <c r="E41" t="s">
        <v>1238</v>
      </c>
      <c r="K41" s="2">
        <v>0</v>
      </c>
      <c r="M41" s="2">
        <v>0</v>
      </c>
    </row>
    <row r="42" spans="1:15" ht="18">
      <c r="A42" s="1" t="s">
        <v>1239</v>
      </c>
      <c r="B42" t="s">
        <v>1240</v>
      </c>
      <c r="C42" t="s">
        <v>1240</v>
      </c>
      <c r="E42" t="s">
        <v>1241</v>
      </c>
      <c r="K42" s="2">
        <v>0</v>
      </c>
      <c r="M42" s="2">
        <v>0</v>
      </c>
    </row>
    <row r="43" spans="1:15" ht="18">
      <c r="A43" s="1" t="s">
        <v>1242</v>
      </c>
      <c r="B43" t="s">
        <v>1243</v>
      </c>
      <c r="C43" t="s">
        <v>1243</v>
      </c>
      <c r="E43" t="s">
        <v>1244</v>
      </c>
      <c r="K43" s="2">
        <v>0</v>
      </c>
      <c r="M43" s="2">
        <v>0</v>
      </c>
    </row>
    <row r="44" spans="1:15" ht="18">
      <c r="A44" s="1" t="s">
        <v>1245</v>
      </c>
      <c r="B44" s="1" t="s">
        <v>1246</v>
      </c>
      <c r="C44" s="1" t="s">
        <v>1246</v>
      </c>
      <c r="E44" t="s">
        <v>1247</v>
      </c>
      <c r="K44" s="2">
        <v>0</v>
      </c>
      <c r="M44" s="2">
        <v>0</v>
      </c>
    </row>
    <row r="45" spans="1:15" ht="18">
      <c r="A45" s="1" t="s">
        <v>1248</v>
      </c>
      <c r="B45" s="1" t="s">
        <v>1249</v>
      </c>
      <c r="C45" s="1" t="s">
        <v>1249</v>
      </c>
      <c r="E45" t="s">
        <v>1250</v>
      </c>
      <c r="K45" s="2">
        <v>0</v>
      </c>
      <c r="M45" s="2">
        <v>0</v>
      </c>
    </row>
    <row r="46" spans="1:15" s="2" customFormat="1" ht="18">
      <c r="A46" s="8" t="s">
        <v>1251</v>
      </c>
      <c r="B46" s="2" t="s">
        <v>1252</v>
      </c>
      <c r="C46" s="2" t="s">
        <v>1252</v>
      </c>
      <c r="E46" s="2" t="s">
        <v>1253</v>
      </c>
      <c r="F46" s="2" t="s">
        <v>1254</v>
      </c>
      <c r="G46" s="2" t="s">
        <v>1255</v>
      </c>
      <c r="H46" s="2" t="s">
        <v>1256</v>
      </c>
      <c r="I46" s="2" t="s">
        <v>1257</v>
      </c>
      <c r="J46" s="2" t="s">
        <v>1258</v>
      </c>
      <c r="K46" s="2">
        <v>0</v>
      </c>
      <c r="L46" s="2" t="s">
        <v>1259</v>
      </c>
      <c r="M46" s="2">
        <v>0</v>
      </c>
      <c r="N46" s="2" t="s">
        <v>1260</v>
      </c>
    </row>
    <row r="47" spans="1:15" s="2" customFormat="1" ht="18">
      <c r="A47" s="8" t="s">
        <v>1261</v>
      </c>
      <c r="B47" s="2" t="s">
        <v>1262</v>
      </c>
      <c r="C47" s="2" t="s">
        <v>1262</v>
      </c>
      <c r="E47" s="2" t="s">
        <v>1263</v>
      </c>
      <c r="G47" s="2" t="s">
        <v>1264</v>
      </c>
      <c r="H47" s="2" t="s">
        <v>1265</v>
      </c>
      <c r="I47" s="2" t="s">
        <v>1266</v>
      </c>
      <c r="J47" s="2" t="s">
        <v>1267</v>
      </c>
      <c r="K47" s="2">
        <v>0</v>
      </c>
      <c r="L47" s="2" t="s">
        <v>1268</v>
      </c>
      <c r="M47" s="2">
        <v>0</v>
      </c>
      <c r="N47" s="2" t="s">
        <v>1269</v>
      </c>
    </row>
    <row r="48" spans="1:15" ht="18">
      <c r="A48" s="1" t="s">
        <v>1270</v>
      </c>
      <c r="B48" t="s">
        <v>1271</v>
      </c>
      <c r="C48" t="s">
        <v>1271</v>
      </c>
      <c r="E48" t="s">
        <v>1272</v>
      </c>
      <c r="K48" s="2">
        <v>0</v>
      </c>
      <c r="M48" s="2">
        <v>0</v>
      </c>
    </row>
    <row r="49" spans="1:13" ht="18">
      <c r="A49" s="1" t="s">
        <v>1273</v>
      </c>
      <c r="B49" t="s">
        <v>1274</v>
      </c>
      <c r="C49" t="s">
        <v>1274</v>
      </c>
      <c r="E49" t="s">
        <v>1275</v>
      </c>
      <c r="K49" s="2">
        <v>0</v>
      </c>
      <c r="M49" s="2">
        <v>0</v>
      </c>
    </row>
    <row r="50" spans="1:13">
      <c r="A50" t="s">
        <v>177</v>
      </c>
      <c r="B50" t="s">
        <v>1276</v>
      </c>
      <c r="C50" t="s">
        <v>1276</v>
      </c>
      <c r="E50" t="s">
        <v>1277</v>
      </c>
      <c r="K50" s="2">
        <v>0</v>
      </c>
      <c r="M50" s="2">
        <v>0</v>
      </c>
    </row>
    <row r="51" spans="1:13" ht="18">
      <c r="A51" s="10" t="s">
        <v>1278</v>
      </c>
      <c r="B51" t="s">
        <v>1279</v>
      </c>
      <c r="C51" t="s">
        <v>1279</v>
      </c>
      <c r="E51" t="s">
        <v>1280</v>
      </c>
      <c r="K51" s="2">
        <v>0</v>
      </c>
      <c r="M51" s="2">
        <v>0</v>
      </c>
    </row>
    <row r="52" spans="1:13" s="2" customFormat="1" ht="18">
      <c r="A52" s="8" t="s">
        <v>1281</v>
      </c>
      <c r="B52" s="2" t="s">
        <v>1282</v>
      </c>
      <c r="C52" s="2" t="s">
        <v>1282</v>
      </c>
      <c r="E52" s="2" t="s">
        <v>1283</v>
      </c>
      <c r="G52" s="2" t="s">
        <v>1284</v>
      </c>
      <c r="H52" s="2" t="s">
        <v>1285</v>
      </c>
      <c r="I52" s="2" t="s">
        <v>1286</v>
      </c>
      <c r="J52" s="2" t="s">
        <v>1287</v>
      </c>
      <c r="K52" s="2">
        <v>0</v>
      </c>
      <c r="L52" s="2" t="s">
        <v>1288</v>
      </c>
      <c r="M52" s="2">
        <v>0</v>
      </c>
    </row>
    <row r="53" spans="1:13" ht="18">
      <c r="A53" s="1" t="s">
        <v>1289</v>
      </c>
      <c r="B53" t="s">
        <v>1290</v>
      </c>
      <c r="C53" t="s">
        <v>1290</v>
      </c>
      <c r="E53" t="s">
        <v>1291</v>
      </c>
      <c r="K53" s="2">
        <v>0</v>
      </c>
      <c r="M53" s="2">
        <v>0</v>
      </c>
    </row>
    <row r="54" spans="1:13">
      <c r="A54" t="s">
        <v>430</v>
      </c>
      <c r="B54" t="s">
        <v>1292</v>
      </c>
      <c r="C54" t="s">
        <v>1292</v>
      </c>
      <c r="E54" t="s">
        <v>1293</v>
      </c>
      <c r="K54" s="2">
        <v>0</v>
      </c>
      <c r="M54" s="2">
        <v>0</v>
      </c>
    </row>
    <row r="55" spans="1:13" ht="18">
      <c r="A55" s="1" t="s">
        <v>1294</v>
      </c>
      <c r="B55" t="s">
        <v>1295</v>
      </c>
      <c r="C55" t="s">
        <v>1295</v>
      </c>
      <c r="E55" t="s">
        <v>1296</v>
      </c>
      <c r="K55" s="2">
        <v>0</v>
      </c>
      <c r="M55" s="2">
        <v>0</v>
      </c>
    </row>
    <row r="56" spans="1:13">
      <c r="A56" t="s">
        <v>1297</v>
      </c>
      <c r="B56" t="s">
        <v>1298</v>
      </c>
      <c r="C56" t="s">
        <v>1298</v>
      </c>
      <c r="E56" t="s">
        <v>1299</v>
      </c>
      <c r="K56" s="2">
        <v>0</v>
      </c>
      <c r="M56" s="2">
        <v>0</v>
      </c>
    </row>
    <row r="57" spans="1:13" ht="18">
      <c r="A57" s="1" t="s">
        <v>1300</v>
      </c>
      <c r="B57" t="s">
        <v>1301</v>
      </c>
      <c r="C57" t="s">
        <v>1301</v>
      </c>
      <c r="E57" t="s">
        <v>1302</v>
      </c>
      <c r="K57" s="2">
        <v>0</v>
      </c>
      <c r="M57" s="2">
        <v>0</v>
      </c>
    </row>
    <row r="58" spans="1:13" s="2" customFormat="1" ht="18">
      <c r="A58" s="8" t="s">
        <v>1303</v>
      </c>
      <c r="B58" s="2" t="s">
        <v>1304</v>
      </c>
      <c r="C58" s="2" t="s">
        <v>1304</v>
      </c>
      <c r="E58" s="2" t="s">
        <v>1305</v>
      </c>
      <c r="G58" s="2" t="s">
        <v>1306</v>
      </c>
      <c r="H58" s="2" t="s">
        <v>1307</v>
      </c>
      <c r="I58" s="2" t="s">
        <v>1308</v>
      </c>
      <c r="K58" s="2">
        <v>0</v>
      </c>
      <c r="L58" s="2" t="s">
        <v>1309</v>
      </c>
      <c r="M58" s="2">
        <v>0</v>
      </c>
    </row>
    <row r="59" spans="1:13" ht="18">
      <c r="A59" s="1" t="s">
        <v>1310</v>
      </c>
      <c r="B59" t="s">
        <v>1311</v>
      </c>
      <c r="C59" t="s">
        <v>1311</v>
      </c>
      <c r="E59" t="s">
        <v>1312</v>
      </c>
      <c r="K59" s="2">
        <v>0</v>
      </c>
      <c r="M59" s="2">
        <v>0</v>
      </c>
    </row>
    <row r="60" spans="1:13">
      <c r="A60" t="s">
        <v>1313</v>
      </c>
      <c r="B60" t="s">
        <v>1314</v>
      </c>
      <c r="C60" t="s">
        <v>1314</v>
      </c>
      <c r="E60" t="s">
        <v>1315</v>
      </c>
      <c r="K60" s="2">
        <v>0</v>
      </c>
      <c r="M60" s="2">
        <v>0</v>
      </c>
    </row>
    <row r="61" spans="1:13" ht="18">
      <c r="A61" s="1" t="s">
        <v>1316</v>
      </c>
      <c r="B61" t="s">
        <v>1317</v>
      </c>
      <c r="C61" t="s">
        <v>1317</v>
      </c>
      <c r="E61" t="s">
        <v>1318</v>
      </c>
      <c r="K61" s="2">
        <v>0</v>
      </c>
      <c r="M61" s="2">
        <v>0</v>
      </c>
    </row>
    <row r="62" spans="1:13" ht="18">
      <c r="A62" s="1" t="s">
        <v>1319</v>
      </c>
      <c r="B62" t="s">
        <v>1320</v>
      </c>
      <c r="C62" t="s">
        <v>1320</v>
      </c>
      <c r="E62" t="s">
        <v>1321</v>
      </c>
      <c r="K62" s="2">
        <v>0</v>
      </c>
      <c r="M62" s="2">
        <v>0</v>
      </c>
    </row>
    <row r="63" spans="1:13" ht="18">
      <c r="A63" s="1" t="s">
        <v>1322</v>
      </c>
      <c r="B63" t="s">
        <v>1323</v>
      </c>
      <c r="C63" t="s">
        <v>1323</v>
      </c>
      <c r="E63" t="s">
        <v>1324</v>
      </c>
      <c r="K63" s="2">
        <v>0</v>
      </c>
      <c r="M63" s="2">
        <v>0</v>
      </c>
    </row>
    <row r="64" spans="1:13" ht="18">
      <c r="A64" s="24" t="s">
        <v>1325</v>
      </c>
      <c r="B64" s="1" t="s">
        <v>1326</v>
      </c>
      <c r="C64" s="1" t="s">
        <v>1326</v>
      </c>
      <c r="E64" t="s">
        <v>1327</v>
      </c>
      <c r="G64" s="1" t="s">
        <v>1328</v>
      </c>
      <c r="H64" s="1" t="s">
        <v>1329</v>
      </c>
      <c r="K64" s="2">
        <v>0</v>
      </c>
      <c r="M64" s="2">
        <v>0</v>
      </c>
    </row>
    <row r="65" spans="1:14" ht="18">
      <c r="A65" s="1" t="s">
        <v>1330</v>
      </c>
      <c r="B65" s="1" t="s">
        <v>1331</v>
      </c>
      <c r="C65" s="1" t="s">
        <v>1331</v>
      </c>
      <c r="E65" t="s">
        <v>1332</v>
      </c>
      <c r="K65" s="2">
        <v>0</v>
      </c>
      <c r="M65" s="2">
        <v>0</v>
      </c>
    </row>
    <row r="66" spans="1:14" ht="18">
      <c r="A66" s="1" t="s">
        <v>1333</v>
      </c>
      <c r="B66" s="1" t="s">
        <v>1334</v>
      </c>
      <c r="C66" s="1" t="s">
        <v>1334</v>
      </c>
      <c r="E66" t="s">
        <v>1335</v>
      </c>
      <c r="K66" s="2">
        <v>0</v>
      </c>
      <c r="M66" s="2">
        <v>0</v>
      </c>
    </row>
    <row r="67" spans="1:14" ht="18">
      <c r="A67" s="1" t="s">
        <v>1336</v>
      </c>
      <c r="B67" t="s">
        <v>1337</v>
      </c>
      <c r="C67" t="s">
        <v>1337</v>
      </c>
      <c r="E67" t="s">
        <v>1338</v>
      </c>
      <c r="K67" s="2">
        <v>0</v>
      </c>
      <c r="M67" s="2">
        <v>0</v>
      </c>
    </row>
    <row r="68" spans="1:14" ht="18">
      <c r="A68" s="1" t="s">
        <v>1339</v>
      </c>
      <c r="B68" t="s">
        <v>1340</v>
      </c>
      <c r="C68" t="s">
        <v>1340</v>
      </c>
      <c r="E68" t="s">
        <v>1341</v>
      </c>
      <c r="K68" s="2">
        <v>0</v>
      </c>
      <c r="M68" s="2">
        <v>0</v>
      </c>
    </row>
    <row r="69" spans="1:14" ht="18">
      <c r="A69" s="1" t="s">
        <v>1342</v>
      </c>
      <c r="B69" t="s">
        <v>1343</v>
      </c>
      <c r="C69" t="s">
        <v>1343</v>
      </c>
      <c r="E69" t="s">
        <v>1344</v>
      </c>
      <c r="K69" s="2">
        <v>0</v>
      </c>
      <c r="M69" s="2">
        <v>0</v>
      </c>
    </row>
    <row r="70" spans="1:14" ht="18">
      <c r="A70" s="1" t="s">
        <v>1158</v>
      </c>
      <c r="B70" t="s">
        <v>1345</v>
      </c>
      <c r="C70" t="s">
        <v>1345</v>
      </c>
      <c r="E70" t="s">
        <v>1346</v>
      </c>
      <c r="K70" s="2">
        <v>0</v>
      </c>
      <c r="M70" s="2">
        <v>0</v>
      </c>
    </row>
    <row r="71" spans="1:14" ht="18">
      <c r="A71" s="1" t="s">
        <v>1347</v>
      </c>
      <c r="B71" t="s">
        <v>1348</v>
      </c>
      <c r="C71" t="s">
        <v>1348</v>
      </c>
      <c r="E71" t="s">
        <v>1349</v>
      </c>
      <c r="K71" s="2">
        <v>0</v>
      </c>
      <c r="M71" s="2">
        <v>0</v>
      </c>
    </row>
    <row r="72" spans="1:14" ht="18">
      <c r="A72" s="1" t="s">
        <v>1350</v>
      </c>
      <c r="B72" t="s">
        <v>1351</v>
      </c>
      <c r="C72" t="s">
        <v>1351</v>
      </c>
      <c r="E72" t="s">
        <v>1352</v>
      </c>
      <c r="K72" s="2">
        <v>0</v>
      </c>
      <c r="M72" s="2">
        <v>0</v>
      </c>
    </row>
    <row r="73" spans="1:14" ht="18">
      <c r="A73" s="1" t="s">
        <v>1353</v>
      </c>
      <c r="B73" t="s">
        <v>1354</v>
      </c>
      <c r="C73" t="s">
        <v>1354</v>
      </c>
      <c r="E73" t="s">
        <v>1355</v>
      </c>
      <c r="K73" s="2">
        <v>0</v>
      </c>
      <c r="M73" s="2">
        <v>0</v>
      </c>
    </row>
    <row r="74" spans="1:14" ht="18">
      <c r="A74" s="1" t="s">
        <v>1356</v>
      </c>
      <c r="B74" t="s">
        <v>1357</v>
      </c>
      <c r="C74" t="s">
        <v>1357</v>
      </c>
      <c r="E74" t="s">
        <v>1358</v>
      </c>
      <c r="K74" s="2">
        <v>0</v>
      </c>
      <c r="M74" s="2">
        <v>0</v>
      </c>
    </row>
    <row r="75" spans="1:14" ht="18">
      <c r="A75" s="1" t="s">
        <v>1359</v>
      </c>
      <c r="B75" t="s">
        <v>1360</v>
      </c>
      <c r="C75" t="s">
        <v>1360</v>
      </c>
      <c r="E75" t="s">
        <v>1361</v>
      </c>
      <c r="K75" s="2">
        <v>0</v>
      </c>
      <c r="M75" s="2">
        <v>0</v>
      </c>
    </row>
    <row r="76" spans="1:14" ht="18">
      <c r="A76" s="1" t="s">
        <v>1362</v>
      </c>
      <c r="B76" t="s">
        <v>1363</v>
      </c>
      <c r="C76" t="s">
        <v>1363</v>
      </c>
      <c r="E76" t="s">
        <v>1364</v>
      </c>
      <c r="K76" s="2">
        <v>0</v>
      </c>
      <c r="M76" s="2">
        <v>0</v>
      </c>
    </row>
    <row r="77" spans="1:14">
      <c r="A77" t="s">
        <v>1365</v>
      </c>
      <c r="B77" t="s">
        <v>1366</v>
      </c>
      <c r="C77" t="s">
        <v>1366</v>
      </c>
      <c r="E77" t="s">
        <v>1367</v>
      </c>
      <c r="K77" s="2">
        <v>0</v>
      </c>
      <c r="M77" s="2">
        <v>0</v>
      </c>
    </row>
    <row r="78" spans="1:14" s="2" customFormat="1" ht="18">
      <c r="A78" s="8" t="s">
        <v>1368</v>
      </c>
      <c r="B78" s="8" t="s">
        <v>1369</v>
      </c>
      <c r="C78" s="8" t="s">
        <v>1369</v>
      </c>
      <c r="E78" s="2" t="s">
        <v>1370</v>
      </c>
      <c r="F78" s="2" t="s">
        <v>1371</v>
      </c>
      <c r="G78" s="2" t="s">
        <v>1372</v>
      </c>
      <c r="H78" s="2" t="s">
        <v>1373</v>
      </c>
      <c r="I78" s="2" t="s">
        <v>1374</v>
      </c>
      <c r="J78" s="2" t="s">
        <v>1375</v>
      </c>
      <c r="K78" s="2">
        <v>0</v>
      </c>
      <c r="L78" s="2" t="s">
        <v>1376</v>
      </c>
      <c r="M78" s="2">
        <v>0</v>
      </c>
      <c r="N78" s="2" t="s">
        <v>1377</v>
      </c>
    </row>
    <row r="79" spans="1:14" ht="18">
      <c r="A79" s="1" t="s">
        <v>1378</v>
      </c>
      <c r="B79" t="s">
        <v>1379</v>
      </c>
      <c r="C79" t="s">
        <v>1379</v>
      </c>
      <c r="E79" t="s">
        <v>1380</v>
      </c>
      <c r="K79" s="2">
        <v>0</v>
      </c>
      <c r="M79" s="2">
        <v>0</v>
      </c>
    </row>
    <row r="80" spans="1:14" ht="18">
      <c r="A80" s="1" t="s">
        <v>1381</v>
      </c>
      <c r="B80" t="s">
        <v>1382</v>
      </c>
      <c r="C80" t="s">
        <v>1382</v>
      </c>
      <c r="E80" t="s">
        <v>1383</v>
      </c>
      <c r="K80" s="2">
        <v>0</v>
      </c>
      <c r="M80" s="2">
        <v>0</v>
      </c>
    </row>
    <row r="81" spans="1:14">
      <c r="A81" t="s">
        <v>1384</v>
      </c>
      <c r="B81" t="s">
        <v>1385</v>
      </c>
      <c r="C81" t="s">
        <v>1385</v>
      </c>
      <c r="E81" t="s">
        <v>1386</v>
      </c>
      <c r="K81" s="2">
        <v>0</v>
      </c>
      <c r="M81" s="2">
        <v>0</v>
      </c>
    </row>
    <row r="82" spans="1:14" s="2" customFormat="1" ht="18">
      <c r="A82" s="8" t="s">
        <v>1387</v>
      </c>
      <c r="B82" s="2" t="s">
        <v>1388</v>
      </c>
      <c r="C82" s="2" t="s">
        <v>1388</v>
      </c>
      <c r="E82" s="2" t="s">
        <v>1389</v>
      </c>
      <c r="F82" s="2" t="s">
        <v>1390</v>
      </c>
      <c r="G82" s="2" t="s">
        <v>1391</v>
      </c>
      <c r="H82" s="2" t="s">
        <v>1392</v>
      </c>
      <c r="I82" s="2" t="s">
        <v>1393</v>
      </c>
      <c r="J82" s="2" t="s">
        <v>1394</v>
      </c>
      <c r="K82" s="2">
        <v>0</v>
      </c>
      <c r="L82" s="2" t="s">
        <v>1395</v>
      </c>
      <c r="M82" s="2">
        <v>0</v>
      </c>
      <c r="N82" s="2" t="s">
        <v>1396</v>
      </c>
    </row>
    <row r="83" spans="1:14" s="2" customFormat="1" ht="18">
      <c r="A83" s="8" t="s">
        <v>1397</v>
      </c>
      <c r="B83" s="2" t="s">
        <v>1398</v>
      </c>
      <c r="C83" s="2" t="s">
        <v>1398</v>
      </c>
      <c r="E83" s="2" t="s">
        <v>1399</v>
      </c>
      <c r="G83" s="2" t="s">
        <v>1400</v>
      </c>
      <c r="H83" s="2" t="s">
        <v>1401</v>
      </c>
      <c r="I83" s="2" t="s">
        <v>1402</v>
      </c>
      <c r="J83" s="2" t="s">
        <v>1403</v>
      </c>
      <c r="K83" s="2">
        <v>0</v>
      </c>
      <c r="L83" s="2" t="s">
        <v>1404</v>
      </c>
      <c r="M83" s="2">
        <v>0</v>
      </c>
      <c r="N83" s="2" t="s">
        <v>1405</v>
      </c>
    </row>
    <row r="84" spans="1:14" ht="18">
      <c r="A84" s="1" t="s">
        <v>1406</v>
      </c>
      <c r="B84" t="s">
        <v>1407</v>
      </c>
      <c r="C84" t="s">
        <v>1407</v>
      </c>
      <c r="E84" t="s">
        <v>1408</v>
      </c>
      <c r="K84" s="2">
        <v>0</v>
      </c>
      <c r="M84" s="2">
        <v>0</v>
      </c>
    </row>
    <row r="85" spans="1:14" ht="18">
      <c r="A85" s="1" t="s">
        <v>1409</v>
      </c>
      <c r="B85" t="s">
        <v>1410</v>
      </c>
      <c r="C85" t="s">
        <v>1410</v>
      </c>
      <c r="E85" t="s">
        <v>1411</v>
      </c>
      <c r="K85" s="2">
        <v>0</v>
      </c>
      <c r="M85" s="2">
        <v>0</v>
      </c>
    </row>
    <row r="86" spans="1:14">
      <c r="A86" t="s">
        <v>1412</v>
      </c>
      <c r="B86" t="s">
        <v>1413</v>
      </c>
      <c r="C86" t="s">
        <v>1413</v>
      </c>
      <c r="E86" t="s">
        <v>1414</v>
      </c>
      <c r="K86" s="2">
        <v>0</v>
      </c>
      <c r="M86" s="2">
        <v>0</v>
      </c>
    </row>
    <row r="87" spans="1:14" ht="18">
      <c r="A87" s="1" t="s">
        <v>1415</v>
      </c>
      <c r="B87" t="s">
        <v>1416</v>
      </c>
      <c r="C87" t="s">
        <v>1416</v>
      </c>
      <c r="E87" t="s">
        <v>1417</v>
      </c>
      <c r="K87" s="2">
        <v>0</v>
      </c>
      <c r="M87" s="2">
        <v>0</v>
      </c>
    </row>
    <row r="88" spans="1:14">
      <c r="A88" t="s">
        <v>1418</v>
      </c>
      <c r="B88" t="s">
        <v>1419</v>
      </c>
      <c r="C88" t="s">
        <v>1419</v>
      </c>
      <c r="E88" t="s">
        <v>1420</v>
      </c>
      <c r="K88" s="2">
        <v>0</v>
      </c>
      <c r="M88" s="2">
        <v>0</v>
      </c>
    </row>
    <row r="89" spans="1:14" ht="18">
      <c r="A89" s="1" t="s">
        <v>1421</v>
      </c>
      <c r="B89" t="s">
        <v>1422</v>
      </c>
      <c r="C89" t="s">
        <v>1422</v>
      </c>
      <c r="E89" t="s">
        <v>1423</v>
      </c>
      <c r="K89" s="2">
        <v>0</v>
      </c>
      <c r="M89" s="2">
        <v>0</v>
      </c>
    </row>
    <row r="90" spans="1:14" s="2" customFormat="1" ht="18">
      <c r="A90" s="8" t="s">
        <v>1424</v>
      </c>
      <c r="B90" s="2" t="s">
        <v>1425</v>
      </c>
      <c r="C90" s="2" t="s">
        <v>1425</v>
      </c>
      <c r="E90" s="2" t="s">
        <v>1426</v>
      </c>
      <c r="F90" s="2" t="s">
        <v>1427</v>
      </c>
      <c r="G90" s="2" t="s">
        <v>1428</v>
      </c>
      <c r="H90" s="2" t="s">
        <v>1429</v>
      </c>
      <c r="I90" s="2" t="s">
        <v>1430</v>
      </c>
      <c r="J90" s="2" t="s">
        <v>1431</v>
      </c>
      <c r="K90" s="2">
        <v>0</v>
      </c>
      <c r="L90" s="2" t="s">
        <v>1432</v>
      </c>
      <c r="M90" s="2">
        <v>0</v>
      </c>
      <c r="N90" s="2" t="s">
        <v>1433</v>
      </c>
    </row>
    <row r="91" spans="1:14" ht="18">
      <c r="A91" s="1" t="s">
        <v>401</v>
      </c>
      <c r="B91" t="s">
        <v>1434</v>
      </c>
      <c r="C91" t="s">
        <v>1434</v>
      </c>
      <c r="E91" t="s">
        <v>1435</v>
      </c>
      <c r="K91" s="2">
        <v>0</v>
      </c>
      <c r="M91" s="2">
        <v>0</v>
      </c>
    </row>
    <row r="92" spans="1:14" ht="18">
      <c r="A92" s="1" t="s">
        <v>1436</v>
      </c>
      <c r="B92" t="s">
        <v>1437</v>
      </c>
      <c r="C92" t="s">
        <v>1437</v>
      </c>
      <c r="E92" t="s">
        <v>1438</v>
      </c>
      <c r="K92" s="2">
        <v>0</v>
      </c>
      <c r="M92" s="2">
        <v>0</v>
      </c>
    </row>
    <row r="93" spans="1:14">
      <c r="A93" t="s">
        <v>1439</v>
      </c>
      <c r="B93" t="s">
        <v>1440</v>
      </c>
      <c r="C93" t="s">
        <v>1440</v>
      </c>
      <c r="E93" t="s">
        <v>1441</v>
      </c>
      <c r="K93" s="2">
        <v>0</v>
      </c>
      <c r="M93" s="2">
        <v>0</v>
      </c>
    </row>
    <row r="94" spans="1:14" ht="18">
      <c r="A94" s="1" t="s">
        <v>1442</v>
      </c>
      <c r="B94" t="s">
        <v>1443</v>
      </c>
      <c r="C94" t="s">
        <v>1443</v>
      </c>
      <c r="E94" t="s">
        <v>1444</v>
      </c>
      <c r="K94" s="2">
        <v>0</v>
      </c>
      <c r="M94" s="2">
        <v>0</v>
      </c>
    </row>
    <row r="95" spans="1:14" ht="18">
      <c r="A95" s="1" t="s">
        <v>1445</v>
      </c>
      <c r="B95" t="s">
        <v>1446</v>
      </c>
      <c r="C95" t="s">
        <v>1446</v>
      </c>
      <c r="E95" t="s">
        <v>1447</v>
      </c>
      <c r="K95" s="2">
        <v>0</v>
      </c>
      <c r="M95" s="2">
        <v>0</v>
      </c>
    </row>
    <row r="96" spans="1:14" ht="18">
      <c r="A96" s="1" t="s">
        <v>1448</v>
      </c>
      <c r="B96" t="s">
        <v>1449</v>
      </c>
      <c r="C96" t="s">
        <v>1449</v>
      </c>
      <c r="E96" t="s">
        <v>1450</v>
      </c>
      <c r="K96" s="2">
        <v>0</v>
      </c>
      <c r="M96" s="2">
        <v>0</v>
      </c>
    </row>
    <row r="97" spans="1:14" ht="18">
      <c r="A97" s="1" t="s">
        <v>1451</v>
      </c>
      <c r="B97" t="s">
        <v>1452</v>
      </c>
      <c r="C97" t="s">
        <v>1452</v>
      </c>
      <c r="E97" t="s">
        <v>1453</v>
      </c>
      <c r="K97" s="2">
        <v>0</v>
      </c>
      <c r="M97" s="2">
        <v>0</v>
      </c>
    </row>
    <row r="98" spans="1:14" s="2" customFormat="1" ht="18">
      <c r="A98" s="8" t="s">
        <v>1454</v>
      </c>
      <c r="B98" s="2" t="s">
        <v>1455</v>
      </c>
      <c r="C98" s="2" t="s">
        <v>1455</v>
      </c>
      <c r="E98" s="2" t="s">
        <v>1456</v>
      </c>
      <c r="G98" s="2" t="s">
        <v>1457</v>
      </c>
      <c r="H98" s="2" t="s">
        <v>1458</v>
      </c>
      <c r="I98" s="2" t="s">
        <v>1459</v>
      </c>
      <c r="J98" s="2" t="s">
        <v>1460</v>
      </c>
      <c r="K98" s="2">
        <v>0</v>
      </c>
      <c r="L98" s="2" t="s">
        <v>1461</v>
      </c>
      <c r="M98" s="2">
        <v>0</v>
      </c>
      <c r="N98" s="2" t="s">
        <v>1462</v>
      </c>
    </row>
    <row r="99" spans="1:14" ht="18">
      <c r="A99" s="1" t="s">
        <v>1463</v>
      </c>
      <c r="B99" t="s">
        <v>1464</v>
      </c>
      <c r="C99" t="s">
        <v>1464</v>
      </c>
      <c r="E99" t="s">
        <v>1465</v>
      </c>
      <c r="K99" s="2">
        <v>0</v>
      </c>
      <c r="M99" s="2">
        <v>0</v>
      </c>
    </row>
    <row r="100" spans="1:14" ht="18" customHeight="1">
      <c r="A100" s="1" t="s">
        <v>1466</v>
      </c>
      <c r="B100" t="s">
        <v>1467</v>
      </c>
      <c r="C100" t="s">
        <v>1468</v>
      </c>
      <c r="E100" t="s">
        <v>1469</v>
      </c>
      <c r="K100">
        <v>0</v>
      </c>
      <c r="M100"/>
    </row>
    <row r="101" spans="1:14" ht="18">
      <c r="A101" s="1" t="s">
        <v>1470</v>
      </c>
      <c r="B101" t="s">
        <v>1471</v>
      </c>
      <c r="C101" t="s">
        <v>1471</v>
      </c>
      <c r="E101" t="s">
        <v>1472</v>
      </c>
      <c r="K101" s="2">
        <v>0</v>
      </c>
      <c r="M101" s="2">
        <v>0</v>
      </c>
    </row>
    <row r="102" spans="1:14" ht="18">
      <c r="A102" s="1" t="s">
        <v>1473</v>
      </c>
      <c r="B102" t="s">
        <v>1474</v>
      </c>
      <c r="C102" t="s">
        <v>1474</v>
      </c>
      <c r="E102" t="s">
        <v>1475</v>
      </c>
      <c r="K102" s="2">
        <v>0</v>
      </c>
      <c r="M102" s="2">
        <v>0</v>
      </c>
    </row>
    <row r="103" spans="1:14" ht="18">
      <c r="A103" s="1" t="s">
        <v>1476</v>
      </c>
      <c r="B103" t="s">
        <v>1477</v>
      </c>
      <c r="C103" t="s">
        <v>1477</v>
      </c>
      <c r="E103" t="s">
        <v>1478</v>
      </c>
      <c r="K103" s="2">
        <v>0</v>
      </c>
      <c r="M103" s="2">
        <v>0</v>
      </c>
    </row>
    <row r="104" spans="1:14" ht="18">
      <c r="A104" s="1" t="s">
        <v>1479</v>
      </c>
      <c r="B104" t="s">
        <v>1480</v>
      </c>
      <c r="C104" t="s">
        <v>1480</v>
      </c>
      <c r="E104" t="s">
        <v>1481</v>
      </c>
      <c r="K104" s="2">
        <v>0</v>
      </c>
      <c r="M104" s="2">
        <v>0</v>
      </c>
    </row>
    <row r="105" spans="1:14" ht="18">
      <c r="A105" s="1" t="s">
        <v>1482</v>
      </c>
      <c r="B105" t="s">
        <v>1483</v>
      </c>
      <c r="C105" t="s">
        <v>1483</v>
      </c>
      <c r="E105" t="s">
        <v>1484</v>
      </c>
      <c r="K105" s="2">
        <v>0</v>
      </c>
      <c r="M105" s="2">
        <v>0</v>
      </c>
    </row>
    <row r="106" spans="1:14" ht="18">
      <c r="A106" s="1" t="s">
        <v>1485</v>
      </c>
      <c r="B106" t="s">
        <v>1486</v>
      </c>
      <c r="C106" t="s">
        <v>1486</v>
      </c>
      <c r="E106" t="s">
        <v>1487</v>
      </c>
      <c r="K106" s="2">
        <v>0</v>
      </c>
      <c r="M106" s="2">
        <v>0</v>
      </c>
    </row>
    <row r="107" spans="1:14" s="2" customFormat="1" ht="18">
      <c r="A107" s="8" t="s">
        <v>1488</v>
      </c>
      <c r="B107" s="2" t="s">
        <v>1489</v>
      </c>
      <c r="C107" s="2" t="s">
        <v>1489</v>
      </c>
      <c r="E107" s="2" t="s">
        <v>1490</v>
      </c>
      <c r="G107" s="2" t="s">
        <v>1491</v>
      </c>
      <c r="H107" s="2" t="s">
        <v>1492</v>
      </c>
      <c r="I107" s="2" t="s">
        <v>1493</v>
      </c>
      <c r="K107" s="2">
        <v>0</v>
      </c>
      <c r="L107" s="2" t="s">
        <v>1494</v>
      </c>
      <c r="M107" s="2">
        <v>0</v>
      </c>
    </row>
    <row r="108" spans="1:14" ht="18">
      <c r="A108" s="1" t="s">
        <v>1495</v>
      </c>
      <c r="B108" t="s">
        <v>1496</v>
      </c>
      <c r="C108" t="s">
        <v>1496</v>
      </c>
      <c r="E108" t="s">
        <v>1497</v>
      </c>
      <c r="K108" s="2">
        <v>0</v>
      </c>
      <c r="M108" s="2">
        <v>0</v>
      </c>
    </row>
    <row r="109" spans="1:14" ht="18">
      <c r="A109" s="1" t="s">
        <v>1498</v>
      </c>
      <c r="B109" t="s">
        <v>1499</v>
      </c>
      <c r="C109" t="s">
        <v>1499</v>
      </c>
      <c r="E109" t="s">
        <v>1500</v>
      </c>
      <c r="K109" s="2">
        <v>0</v>
      </c>
      <c r="M109" s="2">
        <v>0</v>
      </c>
    </row>
    <row r="110" spans="1:14" s="2" customFormat="1" ht="18">
      <c r="A110" s="12" t="s">
        <v>1501</v>
      </c>
      <c r="B110" s="2" t="s">
        <v>1502</v>
      </c>
      <c r="C110" s="2" t="s">
        <v>1502</v>
      </c>
      <c r="E110" s="2" t="s">
        <v>1503</v>
      </c>
      <c r="F110" s="8" t="s">
        <v>1504</v>
      </c>
      <c r="G110" s="2" t="s">
        <v>1505</v>
      </c>
      <c r="H110" s="2" t="s">
        <v>1506</v>
      </c>
      <c r="I110" s="2" t="s">
        <v>1507</v>
      </c>
      <c r="J110" s="2" t="s">
        <v>1508</v>
      </c>
      <c r="K110" s="2">
        <v>0</v>
      </c>
      <c r="L110" s="2" t="s">
        <v>1509</v>
      </c>
      <c r="M110" s="2">
        <v>0</v>
      </c>
      <c r="N110" s="2" t="s">
        <v>1510</v>
      </c>
    </row>
    <row r="111" spans="1:14" s="2" customFormat="1">
      <c r="A111" s="2" t="s">
        <v>1511</v>
      </c>
      <c r="B111" s="2" t="s">
        <v>1512</v>
      </c>
      <c r="C111" s="2" t="s">
        <v>1512</v>
      </c>
      <c r="E111" s="2" t="s">
        <v>1513</v>
      </c>
      <c r="F111" s="2" t="s">
        <v>1514</v>
      </c>
      <c r="G111" s="2" t="s">
        <v>1515</v>
      </c>
      <c r="H111" s="2" t="s">
        <v>1516</v>
      </c>
      <c r="I111" s="2" t="s">
        <v>1517</v>
      </c>
      <c r="J111" s="2" t="s">
        <v>1518</v>
      </c>
      <c r="K111" s="2">
        <v>0</v>
      </c>
      <c r="L111" s="2" t="s">
        <v>1519</v>
      </c>
      <c r="M111" s="2">
        <v>0</v>
      </c>
      <c r="N111" s="2" t="s">
        <v>1520</v>
      </c>
    </row>
    <row r="112" spans="1:14" ht="18">
      <c r="A112" s="1" t="s">
        <v>1521</v>
      </c>
      <c r="B112" t="s">
        <v>1522</v>
      </c>
      <c r="C112" t="s">
        <v>1522</v>
      </c>
      <c r="E112" t="s">
        <v>1523</v>
      </c>
      <c r="K112" s="2">
        <v>0</v>
      </c>
      <c r="M112" s="2">
        <v>0</v>
      </c>
    </row>
    <row r="113" spans="1:15" ht="18">
      <c r="A113" s="1" t="s">
        <v>1524</v>
      </c>
      <c r="B113" t="s">
        <v>1525</v>
      </c>
      <c r="C113" t="s">
        <v>1525</v>
      </c>
      <c r="E113" t="s">
        <v>1526</v>
      </c>
      <c r="K113" s="2">
        <v>0</v>
      </c>
      <c r="M113" s="2">
        <v>0</v>
      </c>
    </row>
    <row r="114" spans="1:15">
      <c r="A114" t="s">
        <v>573</v>
      </c>
      <c r="B114" s="28" t="s">
        <v>1527</v>
      </c>
      <c r="C114" s="28" t="s">
        <v>1527</v>
      </c>
      <c r="E114" t="s">
        <v>1528</v>
      </c>
      <c r="K114" s="2">
        <v>0</v>
      </c>
      <c r="M114" s="2">
        <v>0</v>
      </c>
    </row>
    <row r="115" spans="1:15" ht="18">
      <c r="A115" s="1" t="s">
        <v>590</v>
      </c>
      <c r="B115" t="s">
        <v>1529</v>
      </c>
      <c r="C115" t="s">
        <v>1529</v>
      </c>
      <c r="E115" t="s">
        <v>1530</v>
      </c>
      <c r="K115" s="2">
        <v>0</v>
      </c>
      <c r="M115" s="2">
        <v>0</v>
      </c>
    </row>
    <row r="116" spans="1:15">
      <c r="A116" t="s">
        <v>1531</v>
      </c>
      <c r="B116" t="s">
        <v>1532</v>
      </c>
      <c r="C116" t="s">
        <v>1532</v>
      </c>
      <c r="E116" t="s">
        <v>1533</v>
      </c>
      <c r="K116" s="2">
        <v>0</v>
      </c>
      <c r="M116" s="2">
        <v>0</v>
      </c>
    </row>
    <row r="117" spans="1:15">
      <c r="A117" t="s">
        <v>1534</v>
      </c>
      <c r="B117" t="s">
        <v>1535</v>
      </c>
      <c r="C117" t="s">
        <v>1535</v>
      </c>
      <c r="E117" t="s">
        <v>1536</v>
      </c>
      <c r="K117" s="2">
        <v>0</v>
      </c>
      <c r="M117" s="2">
        <v>0</v>
      </c>
    </row>
    <row r="118" spans="1:15" ht="18">
      <c r="A118" s="1" t="s">
        <v>959</v>
      </c>
      <c r="B118" t="s">
        <v>960</v>
      </c>
      <c r="C118" t="s">
        <v>960</v>
      </c>
      <c r="E118" t="s">
        <v>1537</v>
      </c>
      <c r="K118" s="2">
        <v>0</v>
      </c>
      <c r="M118" s="2">
        <v>0</v>
      </c>
    </row>
    <row r="119" spans="1:15" ht="18">
      <c r="A119" s="1" t="s">
        <v>600</v>
      </c>
      <c r="B119" t="s">
        <v>1538</v>
      </c>
      <c r="C119" t="s">
        <v>1538</v>
      </c>
      <c r="E119" t="s">
        <v>1539</v>
      </c>
      <c r="K119" s="2">
        <v>0</v>
      </c>
      <c r="M119" s="2">
        <v>0</v>
      </c>
    </row>
    <row r="120" spans="1:15" ht="18">
      <c r="A120" s="1" t="s">
        <v>1540</v>
      </c>
      <c r="B120" t="s">
        <v>1541</v>
      </c>
      <c r="C120" t="s">
        <v>1541</v>
      </c>
      <c r="E120" t="s">
        <v>1542</v>
      </c>
      <c r="K120" s="2">
        <v>0</v>
      </c>
      <c r="M120" s="2">
        <v>0</v>
      </c>
    </row>
    <row r="121" spans="1:15" s="2" customFormat="1" ht="81">
      <c r="A121" s="8" t="s">
        <v>1543</v>
      </c>
      <c r="B121" s="2" t="s">
        <v>1544</v>
      </c>
      <c r="C121" s="2" t="s">
        <v>1544</v>
      </c>
      <c r="E121" s="2" t="s">
        <v>1545</v>
      </c>
      <c r="F121" s="2" t="s">
        <v>1546</v>
      </c>
      <c r="G121" s="2" t="s">
        <v>1547</v>
      </c>
      <c r="H121" s="2" t="s">
        <v>1548</v>
      </c>
      <c r="I121" s="2" t="s">
        <v>1549</v>
      </c>
      <c r="J121" s="2" t="s">
        <v>1550</v>
      </c>
      <c r="K121" s="2">
        <v>0</v>
      </c>
      <c r="L121" s="6" t="s">
        <v>1551</v>
      </c>
      <c r="M121" s="2">
        <v>0</v>
      </c>
      <c r="N121" s="2" t="s">
        <v>1552</v>
      </c>
    </row>
    <row r="122" spans="1:15">
      <c r="A122" s="4" t="s">
        <v>1553</v>
      </c>
      <c r="B122" s="4" t="s">
        <v>1554</v>
      </c>
      <c r="C122" s="4" t="s">
        <v>1554</v>
      </c>
      <c r="E122" t="s">
        <v>1555</v>
      </c>
      <c r="K122" s="2">
        <v>0</v>
      </c>
      <c r="M122" s="2">
        <v>0</v>
      </c>
    </row>
    <row r="123" spans="1:15" ht="18">
      <c r="A123" s="1" t="s">
        <v>1556</v>
      </c>
      <c r="B123" t="s">
        <v>1557</v>
      </c>
      <c r="C123" t="s">
        <v>1557</v>
      </c>
      <c r="E123" t="s">
        <v>1558</v>
      </c>
      <c r="K123" s="2">
        <v>0</v>
      </c>
      <c r="M123" s="2">
        <v>0</v>
      </c>
    </row>
    <row r="124" spans="1:15">
      <c r="A124" t="s">
        <v>1559</v>
      </c>
      <c r="B124" t="s">
        <v>1560</v>
      </c>
      <c r="C124" t="s">
        <v>1560</v>
      </c>
      <c r="E124" t="s">
        <v>1561</v>
      </c>
      <c r="K124" s="2">
        <v>0</v>
      </c>
      <c r="M124" s="2">
        <v>0</v>
      </c>
    </row>
    <row r="125" spans="1:15" s="2" customFormat="1" ht="81">
      <c r="A125" s="8" t="s">
        <v>1562</v>
      </c>
      <c r="B125" s="2" t="s">
        <v>1563</v>
      </c>
      <c r="C125" s="2" t="s">
        <v>1563</v>
      </c>
      <c r="D125" s="2" t="s">
        <v>2624</v>
      </c>
      <c r="E125" s="2" t="s">
        <v>2812</v>
      </c>
      <c r="F125" s="2" t="s">
        <v>1564</v>
      </c>
      <c r="G125" s="2" t="s">
        <v>1565</v>
      </c>
      <c r="H125" s="2" t="s">
        <v>1566</v>
      </c>
      <c r="I125" s="2" t="s">
        <v>1567</v>
      </c>
      <c r="J125" s="2" t="s">
        <v>1568</v>
      </c>
      <c r="K125" s="2">
        <v>0</v>
      </c>
      <c r="L125" s="6" t="s">
        <v>2813</v>
      </c>
      <c r="M125" s="2">
        <v>0</v>
      </c>
      <c r="N125" s="2" t="s">
        <v>1569</v>
      </c>
      <c r="O125" s="2" t="s">
        <v>2811</v>
      </c>
    </row>
    <row r="126" spans="1:15">
      <c r="A126" t="s">
        <v>1570</v>
      </c>
      <c r="B126" t="s">
        <v>1571</v>
      </c>
      <c r="C126" t="s">
        <v>1571</v>
      </c>
      <c r="E126" t="s">
        <v>1572</v>
      </c>
      <c r="K126" s="2">
        <v>0</v>
      </c>
      <c r="M126" s="2">
        <v>0</v>
      </c>
    </row>
    <row r="127" spans="1:15" ht="18">
      <c r="A127" s="1" t="s">
        <v>1573</v>
      </c>
      <c r="B127" t="s">
        <v>1574</v>
      </c>
      <c r="C127" t="s">
        <v>1574</v>
      </c>
      <c r="E127" t="s">
        <v>1575</v>
      </c>
      <c r="K127" s="2">
        <v>0</v>
      </c>
      <c r="M127" s="2">
        <v>0</v>
      </c>
    </row>
    <row r="128" spans="1:15" ht="18">
      <c r="A128" s="1" t="s">
        <v>1576</v>
      </c>
      <c r="B128" t="s">
        <v>1577</v>
      </c>
      <c r="C128" t="s">
        <v>1577</v>
      </c>
      <c r="E128" t="s">
        <v>1578</v>
      </c>
      <c r="K128" s="2">
        <v>0</v>
      </c>
      <c r="M128" s="2">
        <v>0</v>
      </c>
    </row>
    <row r="129" spans="1:14" ht="18">
      <c r="A129" s="1" t="s">
        <v>1579</v>
      </c>
      <c r="B129" t="s">
        <v>1580</v>
      </c>
      <c r="C129" t="s">
        <v>1580</v>
      </c>
      <c r="E129" t="s">
        <v>1581</v>
      </c>
      <c r="K129" s="2">
        <v>0</v>
      </c>
      <c r="M129" s="2">
        <v>0</v>
      </c>
    </row>
    <row r="130" spans="1:14" ht="18">
      <c r="A130" s="1" t="s">
        <v>1582</v>
      </c>
      <c r="B130" t="s">
        <v>1583</v>
      </c>
      <c r="C130" t="s">
        <v>1583</v>
      </c>
      <c r="E130" t="s">
        <v>1584</v>
      </c>
      <c r="K130" s="2">
        <v>0</v>
      </c>
      <c r="M130" s="2">
        <v>0</v>
      </c>
    </row>
    <row r="131" spans="1:14" ht="18">
      <c r="A131" s="1" t="s">
        <v>1585</v>
      </c>
      <c r="B131" t="s">
        <v>1586</v>
      </c>
      <c r="C131" t="s">
        <v>1586</v>
      </c>
      <c r="E131" t="s">
        <v>1587</v>
      </c>
      <c r="K131" s="2">
        <v>0</v>
      </c>
      <c r="M131" s="2">
        <v>0</v>
      </c>
    </row>
    <row r="132" spans="1:14" ht="18">
      <c r="A132" s="1" t="s">
        <v>1588</v>
      </c>
      <c r="B132" t="s">
        <v>1589</v>
      </c>
      <c r="C132" t="s">
        <v>1589</v>
      </c>
      <c r="E132" t="s">
        <v>1590</v>
      </c>
      <c r="K132" s="2">
        <v>0</v>
      </c>
      <c r="M132" s="2">
        <v>0</v>
      </c>
    </row>
    <row r="133" spans="1:14" ht="18">
      <c r="A133" s="1" t="s">
        <v>1591</v>
      </c>
      <c r="B133" t="s">
        <v>1592</v>
      </c>
      <c r="C133" t="s">
        <v>1592</v>
      </c>
      <c r="E133" t="s">
        <v>1593</v>
      </c>
      <c r="K133" s="2">
        <v>0</v>
      </c>
      <c r="M133" s="2">
        <v>0</v>
      </c>
    </row>
    <row r="134" spans="1:14" ht="18">
      <c r="A134" s="1" t="s">
        <v>1029</v>
      </c>
      <c r="B134" t="s">
        <v>1594</v>
      </c>
      <c r="C134" t="s">
        <v>1594</v>
      </c>
      <c r="E134" t="s">
        <v>1595</v>
      </c>
      <c r="K134" s="2">
        <v>0</v>
      </c>
      <c r="M134" s="2">
        <v>0</v>
      </c>
    </row>
    <row r="135" spans="1:14" ht="18">
      <c r="A135" s="1" t="s">
        <v>1596</v>
      </c>
      <c r="B135" t="s">
        <v>1597</v>
      </c>
      <c r="C135" t="s">
        <v>1597</v>
      </c>
      <c r="E135" t="s">
        <v>1598</v>
      </c>
      <c r="K135" s="2">
        <v>0</v>
      </c>
      <c r="M135" s="2">
        <v>0</v>
      </c>
    </row>
    <row r="136" spans="1:14">
      <c r="A136" t="s">
        <v>1599</v>
      </c>
      <c r="B136" t="s">
        <v>1600</v>
      </c>
      <c r="C136" t="s">
        <v>1600</v>
      </c>
      <c r="E136" t="s">
        <v>1601</v>
      </c>
      <c r="K136" s="2">
        <v>0</v>
      </c>
      <c r="M136" s="2">
        <v>0</v>
      </c>
    </row>
    <row r="137" spans="1:14" ht="18">
      <c r="A137" s="1" t="s">
        <v>1602</v>
      </c>
      <c r="B137" t="s">
        <v>1603</v>
      </c>
      <c r="C137" t="s">
        <v>1603</v>
      </c>
      <c r="E137" t="s">
        <v>1604</v>
      </c>
      <c r="K137" s="2">
        <v>0</v>
      </c>
      <c r="M137" s="2">
        <v>0</v>
      </c>
    </row>
    <row r="138" spans="1:14" s="2" customFormat="1" ht="18">
      <c r="A138" s="8" t="s">
        <v>1605</v>
      </c>
      <c r="B138" s="2" t="s">
        <v>1606</v>
      </c>
      <c r="C138" s="2" t="s">
        <v>1606</v>
      </c>
      <c r="E138" s="2" t="s">
        <v>1607</v>
      </c>
      <c r="F138" s="2" t="s">
        <v>1608</v>
      </c>
      <c r="G138" s="2" t="s">
        <v>1609</v>
      </c>
      <c r="H138" s="2" t="s">
        <v>1610</v>
      </c>
      <c r="I138" s="2" t="s">
        <v>1611</v>
      </c>
      <c r="J138" s="2" t="s">
        <v>1612</v>
      </c>
      <c r="K138" s="2">
        <v>0</v>
      </c>
      <c r="L138" s="2" t="s">
        <v>1613</v>
      </c>
      <c r="M138" s="2">
        <v>0</v>
      </c>
      <c r="N138" s="2" t="s">
        <v>1614</v>
      </c>
    </row>
    <row r="139" spans="1:14" ht="18">
      <c r="A139" s="1" t="s">
        <v>1615</v>
      </c>
      <c r="B139" t="s">
        <v>1616</v>
      </c>
      <c r="C139" t="s">
        <v>1616</v>
      </c>
      <c r="E139" t="s">
        <v>1617</v>
      </c>
      <c r="K139" s="2">
        <v>0</v>
      </c>
      <c r="M139" s="2">
        <v>0</v>
      </c>
    </row>
    <row r="140" spans="1:14" ht="18">
      <c r="A140" s="1" t="s">
        <v>1618</v>
      </c>
      <c r="B140" t="s">
        <v>1619</v>
      </c>
      <c r="C140" t="s">
        <v>1619</v>
      </c>
      <c r="E140" t="s">
        <v>1620</v>
      </c>
      <c r="K140" s="2">
        <v>0</v>
      </c>
      <c r="M140" s="2">
        <v>0</v>
      </c>
    </row>
    <row r="141" spans="1:14" ht="18">
      <c r="A141" s="1" t="s">
        <v>1621</v>
      </c>
      <c r="B141" t="s">
        <v>1622</v>
      </c>
      <c r="C141" t="s">
        <v>1622</v>
      </c>
      <c r="E141" t="s">
        <v>1623</v>
      </c>
      <c r="I141" s="1" t="s">
        <v>1624</v>
      </c>
      <c r="K141" s="2">
        <v>0</v>
      </c>
      <c r="M141" s="2">
        <v>0</v>
      </c>
    </row>
    <row r="142" spans="1:14" ht="18">
      <c r="A142" s="1" t="s">
        <v>1625</v>
      </c>
      <c r="B142" t="s">
        <v>1626</v>
      </c>
      <c r="C142" t="s">
        <v>1626</v>
      </c>
      <c r="E142" t="s">
        <v>1627</v>
      </c>
      <c r="K142" s="2">
        <v>0</v>
      </c>
      <c r="M142" s="2">
        <v>0</v>
      </c>
    </row>
    <row r="143" spans="1:14" ht="18">
      <c r="A143" s="1" t="s">
        <v>1628</v>
      </c>
      <c r="B143" t="s">
        <v>1629</v>
      </c>
      <c r="C143" t="s">
        <v>1629</v>
      </c>
      <c r="E143" t="s">
        <v>1630</v>
      </c>
      <c r="K143" s="2">
        <v>0</v>
      </c>
      <c r="M143" s="2">
        <v>0</v>
      </c>
    </row>
    <row r="144" spans="1:14" ht="18">
      <c r="A144" s="1" t="s">
        <v>1631</v>
      </c>
      <c r="B144" t="s">
        <v>1632</v>
      </c>
      <c r="C144" t="s">
        <v>1632</v>
      </c>
      <c r="E144" t="s">
        <v>1633</v>
      </c>
      <c r="K144" s="2">
        <v>0</v>
      </c>
      <c r="M144" s="2">
        <v>0</v>
      </c>
    </row>
    <row r="145" spans="1:13" ht="18">
      <c r="A145" s="1" t="s">
        <v>1634</v>
      </c>
      <c r="B145" t="s">
        <v>1635</v>
      </c>
      <c r="C145" t="s">
        <v>1635</v>
      </c>
      <c r="E145" t="s">
        <v>1636</v>
      </c>
      <c r="K145" s="2">
        <v>0</v>
      </c>
      <c r="M145" s="2">
        <v>0</v>
      </c>
    </row>
    <row r="146" spans="1:13" ht="18">
      <c r="A146" s="1" t="s">
        <v>1637</v>
      </c>
      <c r="B146" t="s">
        <v>1638</v>
      </c>
      <c r="C146" t="s">
        <v>1638</v>
      </c>
      <c r="E146" t="s">
        <v>1639</v>
      </c>
      <c r="K146" s="2">
        <v>0</v>
      </c>
      <c r="M146" s="2">
        <v>0</v>
      </c>
    </row>
    <row r="147" spans="1:13" ht="18">
      <c r="A147" s="1" t="s">
        <v>1640</v>
      </c>
      <c r="B147" t="s">
        <v>1641</v>
      </c>
      <c r="C147" t="s">
        <v>1641</v>
      </c>
      <c r="E147" t="s">
        <v>1642</v>
      </c>
      <c r="K147" s="2">
        <v>0</v>
      </c>
      <c r="M147" s="2">
        <v>0</v>
      </c>
    </row>
    <row r="148" spans="1:13" ht="18">
      <c r="A148" s="1" t="s">
        <v>1643</v>
      </c>
      <c r="B148" t="s">
        <v>1644</v>
      </c>
      <c r="C148" t="s">
        <v>1644</v>
      </c>
      <c r="E148" t="s">
        <v>1645</v>
      </c>
      <c r="F148" t="s">
        <v>1646</v>
      </c>
      <c r="K148" s="2">
        <v>0</v>
      </c>
      <c r="M148" s="2">
        <v>0</v>
      </c>
    </row>
    <row r="149" spans="1:13" ht="18">
      <c r="A149" s="1" t="s">
        <v>1647</v>
      </c>
      <c r="B149" t="s">
        <v>1648</v>
      </c>
      <c r="C149" t="s">
        <v>1648</v>
      </c>
      <c r="E149" t="s">
        <v>1649</v>
      </c>
      <c r="K149" s="2">
        <v>0</v>
      </c>
      <c r="M149" s="2">
        <v>0</v>
      </c>
    </row>
    <row r="150" spans="1:13">
      <c r="A150" t="s">
        <v>1650</v>
      </c>
      <c r="B150" t="s">
        <v>1651</v>
      </c>
      <c r="C150" t="s">
        <v>1651</v>
      </c>
      <c r="E150" t="s">
        <v>1652</v>
      </c>
      <c r="F150" t="s">
        <v>1029</v>
      </c>
      <c r="K150" s="2">
        <v>0</v>
      </c>
      <c r="M150" s="2">
        <v>0</v>
      </c>
    </row>
    <row r="151" spans="1:13" ht="18">
      <c r="A151" s="1" t="s">
        <v>1653</v>
      </c>
      <c r="B151" t="s">
        <v>1654</v>
      </c>
      <c r="C151" t="s">
        <v>1654</v>
      </c>
      <c r="E151" t="s">
        <v>1655</v>
      </c>
      <c r="K151" s="2">
        <v>0</v>
      </c>
      <c r="M151" s="2">
        <v>0</v>
      </c>
    </row>
    <row r="152" spans="1:13">
      <c r="A152" t="s">
        <v>1656</v>
      </c>
      <c r="B152" t="s">
        <v>1657</v>
      </c>
      <c r="C152" t="s">
        <v>1657</v>
      </c>
      <c r="E152" t="s">
        <v>1658</v>
      </c>
      <c r="G152" t="s">
        <v>1659</v>
      </c>
      <c r="H152" t="s">
        <v>1660</v>
      </c>
      <c r="I152" t="s">
        <v>1661</v>
      </c>
      <c r="K152" s="2">
        <v>0</v>
      </c>
      <c r="M152" s="2">
        <v>0</v>
      </c>
    </row>
    <row r="153" spans="1:13">
      <c r="A153" s="4" t="s">
        <v>1662</v>
      </c>
      <c r="B153" s="14" t="s">
        <v>1663</v>
      </c>
      <c r="C153" s="14" t="s">
        <v>1663</v>
      </c>
      <c r="E153" t="s">
        <v>1664</v>
      </c>
      <c r="G153" t="s">
        <v>1665</v>
      </c>
      <c r="H153" t="s">
        <v>1666</v>
      </c>
      <c r="I153" t="s">
        <v>1667</v>
      </c>
      <c r="K153" s="2">
        <v>0</v>
      </c>
      <c r="M153" s="2">
        <v>0</v>
      </c>
    </row>
    <row r="154" spans="1:13" ht="18">
      <c r="A154" s="10" t="s">
        <v>1668</v>
      </c>
      <c r="B154" s="4" t="s">
        <v>1669</v>
      </c>
      <c r="C154" s="4" t="s">
        <v>1669</v>
      </c>
      <c r="E154" t="s">
        <v>1670</v>
      </c>
      <c r="F154" s="1" t="s">
        <v>1671</v>
      </c>
      <c r="G154" t="s">
        <v>1672</v>
      </c>
      <c r="H154" t="s">
        <v>1673</v>
      </c>
      <c r="I154" t="s">
        <v>1674</v>
      </c>
      <c r="K154" s="2">
        <v>0</v>
      </c>
      <c r="M154" s="2">
        <v>0</v>
      </c>
    </row>
    <row r="155" spans="1:13" ht="18">
      <c r="A155" s="1" t="s">
        <v>1675</v>
      </c>
      <c r="B155" t="s">
        <v>1676</v>
      </c>
      <c r="C155" t="s">
        <v>1676</v>
      </c>
      <c r="E155" t="s">
        <v>1677</v>
      </c>
      <c r="K155" s="2">
        <v>0</v>
      </c>
      <c r="M155" s="2">
        <v>0</v>
      </c>
    </row>
    <row r="156" spans="1:13" ht="18">
      <c r="A156" s="1" t="s">
        <v>1678</v>
      </c>
      <c r="B156" s="4" t="s">
        <v>1679</v>
      </c>
      <c r="C156" s="4" t="s">
        <v>1679</v>
      </c>
      <c r="E156" t="s">
        <v>1680</v>
      </c>
      <c r="K156" s="2">
        <v>0</v>
      </c>
      <c r="M156" s="2">
        <v>0</v>
      </c>
    </row>
    <row r="157" spans="1:13" ht="18">
      <c r="A157" s="1" t="s">
        <v>1681</v>
      </c>
      <c r="B157" t="s">
        <v>1682</v>
      </c>
      <c r="C157" t="s">
        <v>1682</v>
      </c>
      <c r="E157" t="s">
        <v>1683</v>
      </c>
      <c r="K157" s="2">
        <v>0</v>
      </c>
      <c r="M157" s="2">
        <v>0</v>
      </c>
    </row>
    <row r="158" spans="1:13" ht="225">
      <c r="A158" s="1" t="s">
        <v>1684</v>
      </c>
      <c r="B158" t="s">
        <v>1685</v>
      </c>
      <c r="C158" t="s">
        <v>1685</v>
      </c>
      <c r="E158" t="s">
        <v>1686</v>
      </c>
      <c r="G158" t="s">
        <v>2683</v>
      </c>
      <c r="H158" t="s">
        <v>2684</v>
      </c>
      <c r="I158" t="s">
        <v>2685</v>
      </c>
      <c r="J158" t="s">
        <v>2686</v>
      </c>
      <c r="K158" s="2">
        <v>0</v>
      </c>
      <c r="L158" s="18" t="s">
        <v>2682</v>
      </c>
      <c r="M158" s="2">
        <v>0</v>
      </c>
    </row>
    <row r="159" spans="1:13" ht="18">
      <c r="A159" s="1" t="s">
        <v>2681</v>
      </c>
      <c r="B159" t="s">
        <v>2680</v>
      </c>
      <c r="C159" t="s">
        <v>1687</v>
      </c>
      <c r="E159" t="s">
        <v>1688</v>
      </c>
      <c r="K159" s="2">
        <v>0</v>
      </c>
      <c r="M159" s="2">
        <v>0</v>
      </c>
    </row>
    <row r="160" spans="1:13" ht="18">
      <c r="A160" s="1" t="s">
        <v>1689</v>
      </c>
      <c r="B160" t="s">
        <v>1690</v>
      </c>
      <c r="C160" t="s">
        <v>1690</v>
      </c>
      <c r="E160" t="s">
        <v>1691</v>
      </c>
      <c r="K160" s="2">
        <v>0</v>
      </c>
      <c r="M160" s="2">
        <v>0</v>
      </c>
    </row>
    <row r="161" spans="1:14" ht="81">
      <c r="A161" s="1" t="s">
        <v>1692</v>
      </c>
      <c r="B161" t="s">
        <v>1693</v>
      </c>
      <c r="C161" t="s">
        <v>1693</v>
      </c>
      <c r="E161" t="s">
        <v>1694</v>
      </c>
      <c r="G161" t="s">
        <v>2620</v>
      </c>
      <c r="H161" t="s">
        <v>2621</v>
      </c>
      <c r="I161" t="s">
        <v>2623</v>
      </c>
      <c r="J161" t="s">
        <v>2622</v>
      </c>
      <c r="K161" s="2">
        <v>0</v>
      </c>
      <c r="L161" s="18" t="s">
        <v>2619</v>
      </c>
      <c r="M161" s="2">
        <v>0</v>
      </c>
    </row>
    <row r="162" spans="1:14" ht="18">
      <c r="A162" s="1" t="s">
        <v>1695</v>
      </c>
      <c r="B162" t="s">
        <v>1696</v>
      </c>
      <c r="C162" t="s">
        <v>1696</v>
      </c>
      <c r="E162" t="s">
        <v>1697</v>
      </c>
      <c r="K162" s="2">
        <v>0</v>
      </c>
      <c r="M162" s="2">
        <v>0</v>
      </c>
    </row>
    <row r="163" spans="1:14">
      <c r="A163" t="s">
        <v>1698</v>
      </c>
      <c r="B163" t="s">
        <v>1699</v>
      </c>
      <c r="C163" t="s">
        <v>1699</v>
      </c>
      <c r="E163" t="s">
        <v>1700</v>
      </c>
      <c r="K163" s="2">
        <v>0</v>
      </c>
      <c r="M163" s="2">
        <v>0</v>
      </c>
    </row>
    <row r="164" spans="1:14" ht="18">
      <c r="A164" s="1" t="s">
        <v>1701</v>
      </c>
      <c r="B164" t="s">
        <v>1702</v>
      </c>
      <c r="C164" t="s">
        <v>1702</v>
      </c>
      <c r="E164" t="s">
        <v>1703</v>
      </c>
      <c r="K164" s="2">
        <v>0</v>
      </c>
      <c r="M164" s="2">
        <v>0</v>
      </c>
    </row>
    <row r="165" spans="1:14" ht="18">
      <c r="A165" s="1" t="s">
        <v>1704</v>
      </c>
      <c r="B165" t="s">
        <v>1705</v>
      </c>
      <c r="C165" t="s">
        <v>1705</v>
      </c>
      <c r="E165" t="s">
        <v>1706</v>
      </c>
      <c r="K165" s="2">
        <v>0</v>
      </c>
      <c r="M165" s="2">
        <v>0</v>
      </c>
    </row>
    <row r="166" spans="1:14" ht="18">
      <c r="A166" s="1" t="s">
        <v>1707</v>
      </c>
      <c r="B166" t="s">
        <v>1708</v>
      </c>
      <c r="C166" t="s">
        <v>1708</v>
      </c>
      <c r="E166" t="s">
        <v>1709</v>
      </c>
      <c r="K166" s="2">
        <v>0</v>
      </c>
      <c r="M166" s="2">
        <v>0</v>
      </c>
    </row>
    <row r="167" spans="1:14" s="2" customFormat="1" ht="18">
      <c r="A167" s="8" t="s">
        <v>1710</v>
      </c>
      <c r="B167" s="2" t="s">
        <v>1711</v>
      </c>
      <c r="C167" s="2" t="s">
        <v>1711</v>
      </c>
      <c r="E167" s="2" t="s">
        <v>1712</v>
      </c>
      <c r="G167" s="8" t="s">
        <v>1713</v>
      </c>
      <c r="K167" s="2">
        <v>0</v>
      </c>
      <c r="M167" s="2">
        <v>0</v>
      </c>
    </row>
    <row r="168" spans="1:14" ht="18">
      <c r="A168" s="1" t="s">
        <v>1714</v>
      </c>
      <c r="B168" t="s">
        <v>905</v>
      </c>
      <c r="C168" t="s">
        <v>905</v>
      </c>
      <c r="E168" t="s">
        <v>1715</v>
      </c>
      <c r="G168" s="1" t="s">
        <v>1716</v>
      </c>
      <c r="I168" t="s">
        <v>1717</v>
      </c>
      <c r="K168" s="2">
        <v>0</v>
      </c>
      <c r="M168" s="2">
        <v>0</v>
      </c>
    </row>
    <row r="169" spans="1:14" ht="64">
      <c r="A169" t="s">
        <v>1718</v>
      </c>
      <c r="B169" t="s">
        <v>1719</v>
      </c>
      <c r="C169" t="s">
        <v>1719</v>
      </c>
      <c r="E169" t="s">
        <v>1720</v>
      </c>
      <c r="G169" s="11" t="s">
        <v>1721</v>
      </c>
      <c r="H169" t="s">
        <v>1722</v>
      </c>
      <c r="I169" t="s">
        <v>1723</v>
      </c>
      <c r="J169" t="s">
        <v>1724</v>
      </c>
      <c r="K169" s="2">
        <v>0</v>
      </c>
      <c r="L169" s="18" t="s">
        <v>1725</v>
      </c>
      <c r="M169" s="2">
        <v>0</v>
      </c>
      <c r="N169" t="s">
        <v>1726</v>
      </c>
    </row>
    <row r="170" spans="1:14" ht="18">
      <c r="A170" s="1" t="s">
        <v>1727</v>
      </c>
      <c r="B170" t="s">
        <v>1728</v>
      </c>
      <c r="C170" t="s">
        <v>1728</v>
      </c>
      <c r="E170" t="s">
        <v>1729</v>
      </c>
      <c r="K170" s="2">
        <v>0</v>
      </c>
      <c r="M170" s="2">
        <v>0</v>
      </c>
    </row>
    <row r="171" spans="1:14" ht="18">
      <c r="A171" s="1" t="s">
        <v>1730</v>
      </c>
      <c r="B171" t="s">
        <v>1731</v>
      </c>
      <c r="C171" t="s">
        <v>1731</v>
      </c>
      <c r="E171" t="s">
        <v>1729</v>
      </c>
      <c r="K171" s="2">
        <v>0</v>
      </c>
      <c r="M171" s="2">
        <v>0</v>
      </c>
    </row>
    <row r="172" spans="1:14" ht="18">
      <c r="A172" s="1" t="s">
        <v>1732</v>
      </c>
      <c r="B172" t="s">
        <v>1733</v>
      </c>
      <c r="C172" t="s">
        <v>1733</v>
      </c>
      <c r="E172" t="s">
        <v>1734</v>
      </c>
      <c r="K172" s="2">
        <v>0</v>
      </c>
      <c r="M172" s="2">
        <v>0</v>
      </c>
    </row>
    <row r="173" spans="1:14" ht="18">
      <c r="A173" s="1" t="s">
        <v>1735</v>
      </c>
      <c r="B173" t="s">
        <v>1736</v>
      </c>
      <c r="C173" t="s">
        <v>1736</v>
      </c>
      <c r="E173" t="s">
        <v>1162</v>
      </c>
      <c r="K173" s="2">
        <v>0</v>
      </c>
      <c r="M173" s="2">
        <v>0</v>
      </c>
    </row>
    <row r="174" spans="1:14" s="2" customFormat="1" ht="18">
      <c r="A174" s="8" t="s">
        <v>1737</v>
      </c>
      <c r="B174" s="2" t="s">
        <v>1738</v>
      </c>
      <c r="C174" s="2" t="s">
        <v>1738</v>
      </c>
      <c r="D174" s="2" t="s">
        <v>2624</v>
      </c>
      <c r="E174" s="2" t="s">
        <v>1739</v>
      </c>
      <c r="G174" s="2" t="s">
        <v>1740</v>
      </c>
      <c r="H174" s="2" t="s">
        <v>1741</v>
      </c>
      <c r="I174" s="2" t="s">
        <v>1742</v>
      </c>
      <c r="J174" s="2" t="s">
        <v>1743</v>
      </c>
      <c r="K174" s="2">
        <v>0</v>
      </c>
      <c r="L174" s="2" t="s">
        <v>1744</v>
      </c>
      <c r="M174" s="2">
        <v>0</v>
      </c>
    </row>
    <row r="175" spans="1:14" ht="18">
      <c r="A175" s="1" t="s">
        <v>1745</v>
      </c>
      <c r="B175" t="s">
        <v>1746</v>
      </c>
      <c r="C175" t="s">
        <v>1746</v>
      </c>
      <c r="E175" t="s">
        <v>1747</v>
      </c>
      <c r="K175" s="2">
        <v>0</v>
      </c>
      <c r="M175" s="2">
        <v>0</v>
      </c>
    </row>
    <row r="176" spans="1:14" ht="18">
      <c r="A176" s="1" t="s">
        <v>1748</v>
      </c>
      <c r="B176" t="s">
        <v>1749</v>
      </c>
      <c r="C176" t="s">
        <v>1749</v>
      </c>
      <c r="E176" t="s">
        <v>1750</v>
      </c>
      <c r="K176" s="2">
        <v>0</v>
      </c>
      <c r="M176" s="2">
        <v>0</v>
      </c>
    </row>
    <row r="177" spans="1:13">
      <c r="A177" t="s">
        <v>1751</v>
      </c>
      <c r="B177" t="s">
        <v>1752</v>
      </c>
      <c r="C177" t="s">
        <v>1752</v>
      </c>
      <c r="E177" t="s">
        <v>1753</v>
      </c>
      <c r="K177" s="2">
        <v>0</v>
      </c>
      <c r="M177" s="2">
        <v>0</v>
      </c>
    </row>
    <row r="178" spans="1:13" ht="18">
      <c r="A178" s="1" t="s">
        <v>1754</v>
      </c>
      <c r="B178" t="s">
        <v>1755</v>
      </c>
      <c r="C178" t="s">
        <v>1755</v>
      </c>
      <c r="E178" t="s">
        <v>1756</v>
      </c>
      <c r="K178" s="2">
        <v>0</v>
      </c>
      <c r="M178" s="2">
        <v>0</v>
      </c>
    </row>
    <row r="179" spans="1:13" ht="18">
      <c r="A179" s="10" t="s">
        <v>1757</v>
      </c>
      <c r="B179" s="4" t="s">
        <v>1758</v>
      </c>
      <c r="C179" s="4" t="s">
        <v>1758</v>
      </c>
      <c r="E179" t="s">
        <v>1759</v>
      </c>
      <c r="F179" s="1" t="s">
        <v>1760</v>
      </c>
      <c r="H179" s="1" t="s">
        <v>1761</v>
      </c>
      <c r="K179" s="2">
        <v>0</v>
      </c>
      <c r="M179" s="2">
        <v>0</v>
      </c>
    </row>
    <row r="180" spans="1:13" ht="18">
      <c r="A180" s="10" t="s">
        <v>1762</v>
      </c>
      <c r="B180" s="4" t="s">
        <v>1763</v>
      </c>
      <c r="C180" s="4" t="s">
        <v>1763</v>
      </c>
      <c r="E180" t="s">
        <v>1764</v>
      </c>
      <c r="G180" s="1" t="s">
        <v>1765</v>
      </c>
      <c r="I180" s="1" t="s">
        <v>1766</v>
      </c>
      <c r="K180" s="2">
        <v>0</v>
      </c>
      <c r="M180" s="2">
        <v>0</v>
      </c>
    </row>
    <row r="181" spans="1:13" ht="18">
      <c r="A181" s="1" t="s">
        <v>1767</v>
      </c>
      <c r="B181" t="s">
        <v>1768</v>
      </c>
      <c r="C181" t="s">
        <v>1768</v>
      </c>
      <c r="E181" t="s">
        <v>1769</v>
      </c>
      <c r="G181" t="s">
        <v>1770</v>
      </c>
      <c r="K181" s="2">
        <v>0</v>
      </c>
      <c r="M181" s="2">
        <v>0</v>
      </c>
    </row>
    <row r="182" spans="1:13" ht="18">
      <c r="A182" s="1" t="s">
        <v>1771</v>
      </c>
      <c r="B182" t="s">
        <v>1772</v>
      </c>
      <c r="C182" t="s">
        <v>1772</v>
      </c>
      <c r="E182" t="s">
        <v>1118</v>
      </c>
      <c r="G182" s="1" t="s">
        <v>1773</v>
      </c>
      <c r="K182" s="2">
        <v>0</v>
      </c>
      <c r="M182" s="2">
        <v>0</v>
      </c>
    </row>
    <row r="183" spans="1:13" ht="18">
      <c r="A183" s="1" t="s">
        <v>1774</v>
      </c>
      <c r="B183" t="s">
        <v>1775</v>
      </c>
      <c r="C183" t="s">
        <v>1775</v>
      </c>
      <c r="E183" t="s">
        <v>1776</v>
      </c>
      <c r="G183" s="1" t="s">
        <v>1777</v>
      </c>
      <c r="K183" s="2">
        <v>0</v>
      </c>
      <c r="M183" s="2">
        <v>0</v>
      </c>
    </row>
    <row r="184" spans="1:13" ht="18">
      <c r="A184" s="1" t="s">
        <v>1778</v>
      </c>
      <c r="B184" t="s">
        <v>1779</v>
      </c>
      <c r="C184" t="s">
        <v>1779</v>
      </c>
      <c r="E184" t="s">
        <v>1780</v>
      </c>
      <c r="G184" s="1" t="s">
        <v>1781</v>
      </c>
      <c r="K184" s="2">
        <v>0</v>
      </c>
      <c r="M184" s="2">
        <v>0</v>
      </c>
    </row>
    <row r="185" spans="1:13" s="2" customFormat="1" ht="18">
      <c r="A185" s="8" t="s">
        <v>1782</v>
      </c>
      <c r="B185" s="2" t="s">
        <v>1783</v>
      </c>
      <c r="C185" s="2" t="s">
        <v>1783</v>
      </c>
      <c r="E185" s="2" t="s">
        <v>1784</v>
      </c>
      <c r="G185" s="2" t="s">
        <v>1785</v>
      </c>
      <c r="K185" s="2">
        <v>0</v>
      </c>
      <c r="M185" s="2">
        <v>0</v>
      </c>
    </row>
    <row r="186" spans="1:13" s="2" customFormat="1" ht="18">
      <c r="A186" s="8" t="s">
        <v>1786</v>
      </c>
      <c r="B186" s="2" t="s">
        <v>1786</v>
      </c>
      <c r="C186" s="2" t="s">
        <v>1786</v>
      </c>
      <c r="E186" s="2" t="s">
        <v>1787</v>
      </c>
      <c r="G186" s="8" t="s">
        <v>1788</v>
      </c>
      <c r="I186" s="2" t="s">
        <v>1789</v>
      </c>
      <c r="K186" s="2">
        <v>0</v>
      </c>
      <c r="M186" s="2">
        <v>0</v>
      </c>
    </row>
  </sheetData>
  <autoFilter ref="A1:O186" xr:uid="{00000000-0001-0000-0400-000000000000}"/>
  <phoneticPr fontId="1" type="noConversion"/>
  <conditionalFormatting sqref="A38">
    <cfRule type="duplicateValues" dxfId="14" priority="4"/>
    <cfRule type="duplicateValues" dxfId="13" priority="5"/>
  </conditionalFormatting>
  <conditionalFormatting sqref="A100">
    <cfRule type="duplicateValues" dxfId="12" priority="1"/>
    <cfRule type="duplicateValues" dxfId="11" priority="2"/>
    <cfRule type="duplicateValues" dxfId="10" priority="3"/>
  </conditionalFormatting>
  <conditionalFormatting sqref="A322:A1048576 A1:A37 A242:A252 A39:A99 A101:A191">
    <cfRule type="duplicateValues" dxfId="9" priority="9"/>
  </conditionalFormatting>
  <conditionalFormatting sqref="A322:A1048576">
    <cfRule type="duplicateValues" dxfId="8" priority="6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F90E-949E-43E7-A3C3-C6EF3C2D0120}">
  <dimension ref="A1:M132"/>
  <sheetViews>
    <sheetView topLeftCell="A11" workbookViewId="0">
      <selection activeCell="A54" sqref="A54:XFD54"/>
    </sheetView>
  </sheetViews>
  <sheetFormatPr baseColWidth="10" defaultColWidth="8.83203125" defaultRowHeight="15"/>
  <cols>
    <col min="3" max="3" width="33.1640625" customWidth="1"/>
    <col min="4" max="4" width="20.33203125" customWidth="1"/>
    <col min="10" max="10" width="8.6640625"/>
    <col min="11" max="11" width="8.83203125" style="2"/>
    <col min="12" max="12" width="8.6640625"/>
    <col min="13" max="13" width="8.83203125" style="2"/>
  </cols>
  <sheetData>
    <row r="1" spans="1:12" ht="18">
      <c r="A1" s="1" t="s">
        <v>1956</v>
      </c>
      <c r="B1" s="1" t="s">
        <v>1957</v>
      </c>
      <c r="E1" t="s">
        <v>1958</v>
      </c>
    </row>
    <row r="2" spans="1:12" ht="18">
      <c r="A2" s="1" t="s">
        <v>1959</v>
      </c>
      <c r="B2" s="1" t="s">
        <v>1960</v>
      </c>
      <c r="E2" t="s">
        <v>1961</v>
      </c>
    </row>
    <row r="3" spans="1:12" ht="18">
      <c r="A3" s="1" t="s">
        <v>1962</v>
      </c>
      <c r="B3" s="1" t="s">
        <v>1963</v>
      </c>
      <c r="E3" t="s">
        <v>1964</v>
      </c>
    </row>
    <row r="4" spans="1:12" ht="18">
      <c r="A4" s="1" t="s">
        <v>1147</v>
      </c>
      <c r="B4" s="1" t="s">
        <v>1965</v>
      </c>
    </row>
    <row r="5" spans="1:12" ht="18">
      <c r="A5" s="1" t="s">
        <v>1966</v>
      </c>
      <c r="B5" s="1" t="s">
        <v>1963</v>
      </c>
    </row>
    <row r="6" spans="1:12" ht="18">
      <c r="A6" s="1" t="s">
        <v>1967</v>
      </c>
      <c r="B6" s="1" t="s">
        <v>1963</v>
      </c>
    </row>
    <row r="7" spans="1:12" ht="18">
      <c r="A7" s="1" t="s">
        <v>1968</v>
      </c>
      <c r="B7" s="1" t="s">
        <v>1969</v>
      </c>
    </row>
    <row r="8" spans="1:12" ht="18">
      <c r="A8" s="1" t="s">
        <v>1970</v>
      </c>
      <c r="B8" s="1" t="s">
        <v>1970</v>
      </c>
      <c r="E8" t="s">
        <v>1971</v>
      </c>
    </row>
    <row r="9" spans="1:12" ht="18">
      <c r="A9" s="1" t="s">
        <v>1972</v>
      </c>
      <c r="B9" s="1" t="s">
        <v>1972</v>
      </c>
      <c r="E9" t="s">
        <v>1973</v>
      </c>
    </row>
    <row r="10" spans="1:12" ht="18">
      <c r="A10" s="1" t="s">
        <v>1974</v>
      </c>
      <c r="B10" s="1" t="s">
        <v>1974</v>
      </c>
      <c r="E10" t="s">
        <v>1971</v>
      </c>
    </row>
    <row r="11" spans="1:12" ht="366">
      <c r="A11" s="24" t="s">
        <v>1975</v>
      </c>
      <c r="B11" s="25" t="s">
        <v>1976</v>
      </c>
      <c r="E11" t="s">
        <v>1977</v>
      </c>
      <c r="F11" t="s">
        <v>2724</v>
      </c>
      <c r="G11" t="s">
        <v>2720</v>
      </c>
      <c r="H11" t="s">
        <v>2721</v>
      </c>
      <c r="I11" t="s">
        <v>2721</v>
      </c>
      <c r="J11" t="s">
        <v>2722</v>
      </c>
      <c r="L11" s="18" t="s">
        <v>2723</v>
      </c>
    </row>
    <row r="12" spans="1:12" ht="18">
      <c r="A12" s="1" t="s">
        <v>1150</v>
      </c>
      <c r="B12" s="1" t="s">
        <v>1978</v>
      </c>
      <c r="E12" t="s">
        <v>1979</v>
      </c>
    </row>
    <row r="13" spans="1:12" ht="18">
      <c r="A13" s="1" t="s">
        <v>1980</v>
      </c>
      <c r="B13" s="1" t="s">
        <v>1981</v>
      </c>
    </row>
    <row r="14" spans="1:12" ht="18">
      <c r="A14" s="1" t="s">
        <v>1602</v>
      </c>
      <c r="B14" s="1" t="s">
        <v>1982</v>
      </c>
    </row>
    <row r="15" spans="1:12" ht="18">
      <c r="A15" s="1" t="s">
        <v>1615</v>
      </c>
      <c r="B15" s="1"/>
    </row>
    <row r="16" spans="1:12" ht="18">
      <c r="A16" s="1" t="s">
        <v>1123</v>
      </c>
      <c r="B16" s="1"/>
    </row>
    <row r="17" spans="1:12" ht="18">
      <c r="A17" s="1" t="s">
        <v>1983</v>
      </c>
      <c r="B17" s="1" t="s">
        <v>1984</v>
      </c>
    </row>
    <row r="18" spans="1:12" ht="18">
      <c r="A18" s="1" t="s">
        <v>1985</v>
      </c>
      <c r="B18" s="1" t="s">
        <v>1986</v>
      </c>
    </row>
    <row r="19" spans="1:12" ht="18">
      <c r="A19" s="1" t="s">
        <v>1987</v>
      </c>
      <c r="B19" s="1" t="s">
        <v>1988</v>
      </c>
      <c r="E19" t="s">
        <v>1989</v>
      </c>
    </row>
    <row r="20" spans="1:12" ht="18">
      <c r="A20" s="1" t="s">
        <v>1990</v>
      </c>
      <c r="B20" s="1"/>
    </row>
    <row r="21" spans="1:12" ht="18">
      <c r="A21" s="1" t="s">
        <v>1991</v>
      </c>
      <c r="B21" s="1" t="s">
        <v>1992</v>
      </c>
    </row>
    <row r="22" spans="1:12" ht="18">
      <c r="A22" s="1" t="s">
        <v>1993</v>
      </c>
      <c r="B22" s="1" t="s">
        <v>1994</v>
      </c>
    </row>
    <row r="23" spans="1:12" ht="18">
      <c r="A23" s="1" t="s">
        <v>1701</v>
      </c>
      <c r="B23" s="1" t="s">
        <v>1995</v>
      </c>
    </row>
    <row r="24" spans="1:12" ht="18">
      <c r="A24" s="1" t="s">
        <v>1996</v>
      </c>
      <c r="B24" s="1" t="s">
        <v>1996</v>
      </c>
    </row>
    <row r="25" spans="1:12" s="2" customFormat="1" ht="18">
      <c r="A25" s="8" t="s">
        <v>1997</v>
      </c>
      <c r="B25" s="2" t="s">
        <v>1998</v>
      </c>
      <c r="C25" s="2" t="s">
        <v>1999</v>
      </c>
      <c r="E25" s="2" t="s">
        <v>2000</v>
      </c>
      <c r="F25" s="2" t="s">
        <v>2001</v>
      </c>
      <c r="G25" s="2" t="s">
        <v>2002</v>
      </c>
      <c r="H25" s="26" t="s">
        <v>2003</v>
      </c>
      <c r="J25"/>
      <c r="L25"/>
    </row>
    <row r="26" spans="1:12" ht="18">
      <c r="A26" s="1" t="s">
        <v>2004</v>
      </c>
      <c r="B26" s="1" t="s">
        <v>2005</v>
      </c>
    </row>
    <row r="27" spans="1:12" ht="18">
      <c r="A27" s="1" t="s">
        <v>2006</v>
      </c>
      <c r="B27" s="1" t="s">
        <v>2007</v>
      </c>
      <c r="D27" t="s">
        <v>2008</v>
      </c>
    </row>
    <row r="28" spans="1:12" ht="18">
      <c r="A28" s="1" t="s">
        <v>1153</v>
      </c>
      <c r="B28" s="1" t="s">
        <v>2009</v>
      </c>
    </row>
    <row r="29" spans="1:12" ht="18">
      <c r="A29" s="1" t="s">
        <v>1138</v>
      </c>
      <c r="B29" s="1" t="s">
        <v>2010</v>
      </c>
    </row>
    <row r="30" spans="1:12" ht="18">
      <c r="A30" s="1" t="s">
        <v>1155</v>
      </c>
      <c r="B30" s="1" t="s">
        <v>2011</v>
      </c>
    </row>
    <row r="31" spans="1:12" ht="18">
      <c r="A31" s="1" t="s">
        <v>1158</v>
      </c>
      <c r="B31" s="1" t="s">
        <v>2012</v>
      </c>
    </row>
    <row r="32" spans="1:12" ht="18">
      <c r="A32" s="1" t="s">
        <v>2013</v>
      </c>
      <c r="B32" s="1"/>
    </row>
    <row r="33" spans="1:12" ht="18">
      <c r="A33" s="1" t="s">
        <v>2014</v>
      </c>
      <c r="B33" s="1" t="s">
        <v>2015</v>
      </c>
    </row>
    <row r="34" spans="1:12" ht="18">
      <c r="A34" s="1" t="s">
        <v>2016</v>
      </c>
      <c r="B34" s="1" t="s">
        <v>2017</v>
      </c>
    </row>
    <row r="35" spans="1:12" ht="18">
      <c r="A35" s="1" t="s">
        <v>2018</v>
      </c>
      <c r="B35" s="1" t="s">
        <v>2018</v>
      </c>
    </row>
    <row r="36" spans="1:12" ht="18">
      <c r="A36" s="1" t="s">
        <v>1064</v>
      </c>
      <c r="B36" s="1" t="s">
        <v>1065</v>
      </c>
    </row>
    <row r="37" spans="1:12" ht="18">
      <c r="A37" s="1" t="s">
        <v>2019</v>
      </c>
      <c r="B37" s="1" t="s">
        <v>2020</v>
      </c>
    </row>
    <row r="38" spans="1:12" ht="18">
      <c r="A38" s="1" t="s">
        <v>2021</v>
      </c>
      <c r="B38" s="1" t="s">
        <v>2022</v>
      </c>
    </row>
    <row r="39" spans="1:12" s="2" customFormat="1" ht="257">
      <c r="A39" s="8" t="s">
        <v>1188</v>
      </c>
      <c r="B39" s="8" t="s">
        <v>1189</v>
      </c>
      <c r="D39" s="2" t="s">
        <v>2629</v>
      </c>
      <c r="E39" s="2" t="s">
        <v>1190</v>
      </c>
      <c r="G39" s="2" t="s">
        <v>2630</v>
      </c>
      <c r="H39" s="2" t="s">
        <v>2628</v>
      </c>
      <c r="I39" s="2" t="s">
        <v>2627</v>
      </c>
      <c r="J39" s="2" t="s">
        <v>2626</v>
      </c>
      <c r="L39" s="6" t="s">
        <v>2625</v>
      </c>
    </row>
    <row r="40" spans="1:12" ht="18">
      <c r="A40" s="1" t="s">
        <v>2023</v>
      </c>
      <c r="B40" s="1" t="s">
        <v>2024</v>
      </c>
    </row>
    <row r="41" spans="1:12" ht="18">
      <c r="A41" s="1" t="s">
        <v>79</v>
      </c>
      <c r="B41" s="1" t="s">
        <v>2025</v>
      </c>
      <c r="C41" t="s">
        <v>2026</v>
      </c>
      <c r="D41" t="s">
        <v>2027</v>
      </c>
      <c r="K41" s="2" t="s">
        <v>2028</v>
      </c>
    </row>
    <row r="42" spans="1:12" ht="18">
      <c r="A42" s="1" t="s">
        <v>2029</v>
      </c>
      <c r="B42" s="1" t="s">
        <v>2030</v>
      </c>
    </row>
    <row r="43" spans="1:12" ht="18">
      <c r="A43" s="1" t="s">
        <v>2031</v>
      </c>
      <c r="B43" s="1" t="s">
        <v>2032</v>
      </c>
    </row>
    <row r="44" spans="1:12" ht="18">
      <c r="A44" s="1" t="s">
        <v>2033</v>
      </c>
      <c r="B44" s="1" t="s">
        <v>2032</v>
      </c>
    </row>
    <row r="45" spans="1:12" ht="18">
      <c r="A45" s="1" t="s">
        <v>2034</v>
      </c>
      <c r="B45" s="1" t="s">
        <v>2032</v>
      </c>
    </row>
    <row r="46" spans="1:12" ht="18">
      <c r="A46" s="1" t="s">
        <v>2035</v>
      </c>
      <c r="B46" s="1" t="s">
        <v>2036</v>
      </c>
    </row>
    <row r="47" spans="1:12" ht="18">
      <c r="A47" s="1" t="s">
        <v>23</v>
      </c>
      <c r="B47" s="1" t="s">
        <v>2037</v>
      </c>
      <c r="C47" t="s">
        <v>22</v>
      </c>
    </row>
    <row r="48" spans="1:12" ht="18">
      <c r="A48" s="1" t="s">
        <v>2038</v>
      </c>
      <c r="B48" s="1" t="s">
        <v>2039</v>
      </c>
    </row>
    <row r="49" spans="1:12" ht="18">
      <c r="A49" s="1" t="s">
        <v>2040</v>
      </c>
      <c r="B49" s="1" t="s">
        <v>2041</v>
      </c>
    </row>
    <row r="50" spans="1:12" ht="18">
      <c r="A50" s="1" t="s">
        <v>2042</v>
      </c>
      <c r="B50" s="1" t="s">
        <v>2043</v>
      </c>
    </row>
    <row r="51" spans="1:12" ht="18">
      <c r="A51" s="1" t="s">
        <v>2044</v>
      </c>
      <c r="B51" s="1" t="s">
        <v>2045</v>
      </c>
    </row>
    <row r="52" spans="1:12" ht="18">
      <c r="A52" s="1" t="s">
        <v>1126</v>
      </c>
      <c r="B52" s="1" t="s">
        <v>2046</v>
      </c>
    </row>
    <row r="53" spans="1:12" ht="18">
      <c r="A53" s="1" t="s">
        <v>2047</v>
      </c>
      <c r="B53" s="1" t="s">
        <v>2048</v>
      </c>
    </row>
    <row r="54" spans="1:12" ht="18">
      <c r="A54" s="1" t="s">
        <v>2050</v>
      </c>
      <c r="B54" s="1"/>
    </row>
    <row r="55" spans="1:12" ht="18">
      <c r="A55" s="1" t="s">
        <v>2051</v>
      </c>
      <c r="B55" s="1" t="s">
        <v>2052</v>
      </c>
    </row>
    <row r="56" spans="1:12" ht="18">
      <c r="A56" s="1" t="s">
        <v>1086</v>
      </c>
      <c r="B56" s="1" t="s">
        <v>1087</v>
      </c>
      <c r="C56" t="s">
        <v>2053</v>
      </c>
      <c r="E56" s="5" t="s">
        <v>2054</v>
      </c>
      <c r="F56" t="s">
        <v>2055</v>
      </c>
    </row>
    <row r="57" spans="1:12" ht="18">
      <c r="A57" s="1" t="s">
        <v>2056</v>
      </c>
      <c r="B57" s="1" t="s">
        <v>2057</v>
      </c>
    </row>
    <row r="58" spans="1:12" s="2" customFormat="1" ht="18">
      <c r="A58" s="8" t="s">
        <v>1368</v>
      </c>
      <c r="B58" s="8" t="s">
        <v>1369</v>
      </c>
      <c r="C58" s="2" t="s">
        <v>2058</v>
      </c>
      <c r="E58" s="2" t="s">
        <v>2059</v>
      </c>
      <c r="F58" s="2" t="s">
        <v>2060</v>
      </c>
      <c r="G58" s="2" t="s">
        <v>2061</v>
      </c>
      <c r="H58" s="2" t="s">
        <v>2062</v>
      </c>
      <c r="J58"/>
      <c r="K58" s="2" t="s">
        <v>2063</v>
      </c>
      <c r="L58"/>
    </row>
    <row r="59" spans="1:12" ht="18">
      <c r="A59" s="1" t="s">
        <v>2064</v>
      </c>
      <c r="B59" s="1" t="s">
        <v>2065</v>
      </c>
    </row>
    <row r="60" spans="1:12" ht="18">
      <c r="A60" s="1" t="s">
        <v>2066</v>
      </c>
      <c r="B60" s="1" t="s">
        <v>2067</v>
      </c>
      <c r="C60" t="s">
        <v>2068</v>
      </c>
      <c r="K60" s="2" t="s">
        <v>2069</v>
      </c>
    </row>
    <row r="61" spans="1:12" ht="18">
      <c r="A61" s="1" t="s">
        <v>1378</v>
      </c>
      <c r="B61" s="1" t="s">
        <v>2070</v>
      </c>
      <c r="C61" t="s">
        <v>2071</v>
      </c>
      <c r="E61" t="s">
        <v>2072</v>
      </c>
      <c r="F61" t="s">
        <v>2073</v>
      </c>
      <c r="K61" s="2" t="s">
        <v>2074</v>
      </c>
    </row>
    <row r="62" spans="1:12" ht="18">
      <c r="A62" s="1" t="s">
        <v>1163</v>
      </c>
      <c r="B62" s="1" t="s">
        <v>2075</v>
      </c>
      <c r="C62" t="s">
        <v>2076</v>
      </c>
      <c r="E62" t="s">
        <v>2077</v>
      </c>
    </row>
    <row r="63" spans="1:12" ht="18">
      <c r="A63" s="1" t="s">
        <v>2078</v>
      </c>
      <c r="B63" s="1" t="s">
        <v>2079</v>
      </c>
      <c r="C63" t="s">
        <v>1339</v>
      </c>
    </row>
    <row r="64" spans="1:12" ht="18">
      <c r="A64" s="1" t="s">
        <v>2080</v>
      </c>
      <c r="B64" s="1" t="s">
        <v>2081</v>
      </c>
      <c r="C64" t="s">
        <v>2082</v>
      </c>
    </row>
    <row r="65" spans="1:12" ht="18">
      <c r="A65" s="1" t="s">
        <v>2083</v>
      </c>
      <c r="B65" s="1" t="s">
        <v>2084</v>
      </c>
      <c r="C65" t="s">
        <v>2085</v>
      </c>
    </row>
    <row r="66" spans="1:12" ht="18">
      <c r="A66" s="1" t="s">
        <v>2086</v>
      </c>
      <c r="B66" s="1" t="s">
        <v>2087</v>
      </c>
      <c r="C66" t="s">
        <v>2088</v>
      </c>
    </row>
    <row r="67" spans="1:12" ht="18">
      <c r="A67" s="1" t="s">
        <v>2089</v>
      </c>
      <c r="B67" s="1" t="s">
        <v>2090</v>
      </c>
      <c r="C67" t="s">
        <v>2091</v>
      </c>
      <c r="E67" t="s">
        <v>2092</v>
      </c>
      <c r="F67" t="s">
        <v>2093</v>
      </c>
      <c r="G67" t="s">
        <v>2094</v>
      </c>
      <c r="H67" t="s">
        <v>2095</v>
      </c>
      <c r="K67" s="2" t="s">
        <v>2096</v>
      </c>
    </row>
    <row r="68" spans="1:12" ht="18">
      <c r="A68" s="1" t="s">
        <v>2097</v>
      </c>
      <c r="B68" s="1" t="s">
        <v>2098</v>
      </c>
      <c r="C68" t="s">
        <v>2099</v>
      </c>
      <c r="D68" t="s">
        <v>1188</v>
      </c>
      <c r="E68" t="s">
        <v>2100</v>
      </c>
      <c r="F68" t="s">
        <v>2101</v>
      </c>
      <c r="G68" t="s">
        <v>2102</v>
      </c>
      <c r="H68" t="s">
        <v>2103</v>
      </c>
      <c r="K68" s="2" t="s">
        <v>2104</v>
      </c>
    </row>
    <row r="69" spans="1:12" ht="18">
      <c r="A69" s="1" t="s">
        <v>2105</v>
      </c>
      <c r="B69" s="1" t="s">
        <v>2106</v>
      </c>
      <c r="C69" t="s">
        <v>2107</v>
      </c>
      <c r="E69" t="s">
        <v>2108</v>
      </c>
      <c r="F69" t="s">
        <v>2109</v>
      </c>
      <c r="G69" t="s">
        <v>2110</v>
      </c>
      <c r="H69" t="s">
        <v>2111</v>
      </c>
      <c r="K69" s="2" t="s">
        <v>2112</v>
      </c>
    </row>
    <row r="70" spans="1:12" ht="18">
      <c r="A70" s="1" t="s">
        <v>2113</v>
      </c>
      <c r="B70" s="1" t="s">
        <v>2114</v>
      </c>
    </row>
    <row r="71" spans="1:12" s="2" customFormat="1" ht="18">
      <c r="A71" s="16" t="s">
        <v>2115</v>
      </c>
      <c r="B71" s="8" t="s">
        <v>2116</v>
      </c>
      <c r="C71" s="2" t="s">
        <v>2117</v>
      </c>
      <c r="E71" s="2" t="s">
        <v>2118</v>
      </c>
      <c r="F71" s="2" t="s">
        <v>2119</v>
      </c>
      <c r="G71" s="2" t="s">
        <v>2120</v>
      </c>
      <c r="H71" s="2" t="s">
        <v>2121</v>
      </c>
      <c r="J71"/>
      <c r="L71"/>
    </row>
    <row r="72" spans="1:12" ht="18">
      <c r="A72" s="1" t="s">
        <v>2122</v>
      </c>
      <c r="B72" s="1" t="s">
        <v>2123</v>
      </c>
    </row>
    <row r="73" spans="1:12" ht="18">
      <c r="A73" s="1" t="s">
        <v>2124</v>
      </c>
      <c r="B73" s="1" t="s">
        <v>2125</v>
      </c>
    </row>
    <row r="74" spans="1:12" ht="18">
      <c r="A74" s="1" t="s">
        <v>1406</v>
      </c>
      <c r="B74" s="1" t="s">
        <v>2126</v>
      </c>
    </row>
    <row r="75" spans="1:12" s="2" customFormat="1" ht="18">
      <c r="A75" s="8" t="s">
        <v>2127</v>
      </c>
      <c r="B75" s="8" t="s">
        <v>2128</v>
      </c>
      <c r="C75" s="2" t="s">
        <v>2129</v>
      </c>
      <c r="E75" s="2" t="s">
        <v>2130</v>
      </c>
      <c r="F75" s="2" t="s">
        <v>2131</v>
      </c>
      <c r="G75" s="2" t="s">
        <v>2132</v>
      </c>
      <c r="H75" s="2" t="s">
        <v>2133</v>
      </c>
      <c r="J75"/>
      <c r="K75" s="2" t="s">
        <v>2134</v>
      </c>
      <c r="L75"/>
    </row>
    <row r="76" spans="1:12" ht="18">
      <c r="A76" s="1" t="s">
        <v>2135</v>
      </c>
      <c r="B76" s="1" t="s">
        <v>2136</v>
      </c>
    </row>
    <row r="77" spans="1:12" ht="18">
      <c r="A77" s="1" t="s">
        <v>2137</v>
      </c>
      <c r="B77" s="1" t="s">
        <v>2138</v>
      </c>
      <c r="C77" s="1" t="s">
        <v>2137</v>
      </c>
      <c r="E77" t="s">
        <v>2139</v>
      </c>
      <c r="F77" t="s">
        <v>2140</v>
      </c>
      <c r="G77" t="s">
        <v>2141</v>
      </c>
      <c r="K77" s="2" t="s">
        <v>2142</v>
      </c>
    </row>
    <row r="78" spans="1:12" ht="18">
      <c r="A78" s="1" t="s">
        <v>1615</v>
      </c>
      <c r="B78" s="1"/>
      <c r="E78" t="s">
        <v>2143</v>
      </c>
    </row>
    <row r="79" spans="1:12" ht="18">
      <c r="A79" s="1" t="s">
        <v>2144</v>
      </c>
      <c r="B79" s="1" t="s">
        <v>2145</v>
      </c>
    </row>
    <row r="80" spans="1:12" s="2" customFormat="1" ht="18">
      <c r="A80" s="8" t="s">
        <v>2146</v>
      </c>
      <c r="B80" s="8" t="s">
        <v>2147</v>
      </c>
      <c r="C80" s="2" t="s">
        <v>2148</v>
      </c>
      <c r="D80" s="2" t="s">
        <v>2149</v>
      </c>
      <c r="E80" s="2" t="s">
        <v>2150</v>
      </c>
      <c r="F80" s="2" t="s">
        <v>2151</v>
      </c>
      <c r="G80" s="2" t="s">
        <v>2152</v>
      </c>
      <c r="H80" s="2" t="s">
        <v>2153</v>
      </c>
      <c r="J80"/>
      <c r="K80" s="2" t="s">
        <v>2154</v>
      </c>
      <c r="L80"/>
    </row>
    <row r="81" spans="1:12" ht="18">
      <c r="A81" s="1" t="s">
        <v>2155</v>
      </c>
      <c r="B81" s="1" t="s">
        <v>2156</v>
      </c>
      <c r="K81" s="2" t="s">
        <v>2157</v>
      </c>
    </row>
    <row r="82" spans="1:12" s="19" customFormat="1" ht="18" customHeight="1">
      <c r="A82" s="19" t="s">
        <v>2158</v>
      </c>
      <c r="B82" s="19" t="s">
        <v>2159</v>
      </c>
      <c r="C82" s="19" t="s">
        <v>2160</v>
      </c>
      <c r="D82" s="2"/>
      <c r="F82" s="19" t="s">
        <v>2161</v>
      </c>
      <c r="G82" s="19" t="s">
        <v>2162</v>
      </c>
      <c r="H82" s="19" t="s">
        <v>2163</v>
      </c>
      <c r="I82" s="19" t="s">
        <v>2164</v>
      </c>
      <c r="J82" s="31">
        <v>1</v>
      </c>
      <c r="K82" s="19" t="s">
        <v>2165</v>
      </c>
      <c r="L82" s="30"/>
    </row>
    <row r="83" spans="1:12" ht="18">
      <c r="A83" s="1" t="s">
        <v>2166</v>
      </c>
      <c r="B83" s="1" t="s">
        <v>2167</v>
      </c>
    </row>
    <row r="84" spans="1:12" ht="18">
      <c r="A84" s="1" t="s">
        <v>1470</v>
      </c>
      <c r="B84" s="1" t="s">
        <v>2168</v>
      </c>
    </row>
    <row r="85" spans="1:12" s="2" customFormat="1" ht="18">
      <c r="A85" s="8" t="s">
        <v>2169</v>
      </c>
      <c r="B85" s="8" t="s">
        <v>2170</v>
      </c>
      <c r="C85" s="2" t="s">
        <v>2171</v>
      </c>
      <c r="E85" s="2" t="s">
        <v>2172</v>
      </c>
      <c r="F85" s="2" t="s">
        <v>2173</v>
      </c>
      <c r="G85" s="8" t="s">
        <v>2174</v>
      </c>
      <c r="H85" s="9" t="s">
        <v>2175</v>
      </c>
      <c r="J85"/>
      <c r="K85" s="2" t="s">
        <v>2176</v>
      </c>
      <c r="L85"/>
    </row>
    <row r="86" spans="1:12" ht="18">
      <c r="A86" s="1" t="s">
        <v>1637</v>
      </c>
      <c r="B86" s="1" t="s">
        <v>2177</v>
      </c>
    </row>
    <row r="87" spans="1:12" s="2" customFormat="1" ht="18">
      <c r="A87" s="8" t="s">
        <v>2178</v>
      </c>
      <c r="B87" s="8" t="s">
        <v>2179</v>
      </c>
      <c r="C87" s="2" t="s">
        <v>2180</v>
      </c>
      <c r="E87" s="2" t="s">
        <v>2181</v>
      </c>
      <c r="F87" s="2" t="s">
        <v>2182</v>
      </c>
      <c r="G87" s="2" t="s">
        <v>2183</v>
      </c>
      <c r="H87" s="2" t="s">
        <v>2184</v>
      </c>
      <c r="J87"/>
      <c r="K87" s="2" t="s">
        <v>2185</v>
      </c>
      <c r="L87"/>
    </row>
    <row r="88" spans="1:12" ht="18">
      <c r="A88" s="1" t="s">
        <v>2186</v>
      </c>
      <c r="B88" s="1" t="s">
        <v>2187</v>
      </c>
      <c r="C88" t="s">
        <v>2188</v>
      </c>
    </row>
    <row r="89" spans="1:12" s="19" customFormat="1" ht="18" customHeight="1">
      <c r="A89" s="19" t="s">
        <v>560</v>
      </c>
      <c r="B89" s="21" t="s">
        <v>561</v>
      </c>
      <c r="C89" s="19" t="s">
        <v>562</v>
      </c>
      <c r="D89" s="22"/>
      <c r="E89" s="2" t="s">
        <v>563</v>
      </c>
      <c r="F89" s="2" t="s">
        <v>564</v>
      </c>
      <c r="G89" s="19" t="s">
        <v>565</v>
      </c>
      <c r="H89" s="19" t="s">
        <v>566</v>
      </c>
      <c r="J89" s="31">
        <v>1</v>
      </c>
      <c r="L89" s="30"/>
    </row>
    <row r="90" spans="1:12" ht="18">
      <c r="A90" s="1" t="s">
        <v>2189</v>
      </c>
      <c r="B90" s="1" t="s">
        <v>2190</v>
      </c>
      <c r="C90" s="4" t="s">
        <v>2191</v>
      </c>
      <c r="E90" t="s">
        <v>2192</v>
      </c>
      <c r="F90" t="s">
        <v>2193</v>
      </c>
      <c r="G90" t="s">
        <v>2194</v>
      </c>
      <c r="H90" t="s">
        <v>2195</v>
      </c>
      <c r="K90" s="2" t="s">
        <v>2196</v>
      </c>
    </row>
    <row r="91" spans="1:12" ht="18">
      <c r="A91" s="1" t="s">
        <v>2197</v>
      </c>
      <c r="B91" s="1" t="s">
        <v>2198</v>
      </c>
      <c r="C91" t="s">
        <v>2199</v>
      </c>
      <c r="E91" t="s">
        <v>2200</v>
      </c>
      <c r="F91" t="s">
        <v>2201</v>
      </c>
      <c r="G91" t="s">
        <v>2202</v>
      </c>
      <c r="H91" t="s">
        <v>2203</v>
      </c>
      <c r="K91" s="2" t="s">
        <v>2204</v>
      </c>
    </row>
    <row r="92" spans="1:12" ht="18">
      <c r="A92" s="1" t="s">
        <v>1239</v>
      </c>
      <c r="B92" s="1" t="s">
        <v>2205</v>
      </c>
    </row>
    <row r="93" spans="1:12" ht="18">
      <c r="A93" s="1" t="s">
        <v>2206</v>
      </c>
      <c r="B93" s="1" t="s">
        <v>2207</v>
      </c>
      <c r="C93" t="s">
        <v>2208</v>
      </c>
      <c r="D93" s="1" t="s">
        <v>2209</v>
      </c>
    </row>
    <row r="94" spans="1:12" ht="18">
      <c r="A94" s="1" t="s">
        <v>1313</v>
      </c>
      <c r="B94" s="1" t="s">
        <v>2210</v>
      </c>
      <c r="C94" t="s">
        <v>2211</v>
      </c>
      <c r="D94" s="1"/>
    </row>
    <row r="95" spans="1:12" s="2" customFormat="1" ht="18">
      <c r="A95" s="8" t="s">
        <v>2212</v>
      </c>
      <c r="B95" s="8" t="s">
        <v>2213</v>
      </c>
      <c r="C95" s="2" t="s">
        <v>2214</v>
      </c>
      <c r="D95" s="17"/>
      <c r="E95" s="2" t="s">
        <v>2215</v>
      </c>
      <c r="F95" s="2" t="s">
        <v>2216</v>
      </c>
      <c r="G95" s="2" t="s">
        <v>2217</v>
      </c>
      <c r="H95" s="2" t="s">
        <v>2218</v>
      </c>
      <c r="J95"/>
      <c r="K95" s="2" t="s">
        <v>2219</v>
      </c>
      <c r="L95"/>
    </row>
    <row r="96" spans="1:12" ht="18">
      <c r="A96" s="1" t="s">
        <v>2220</v>
      </c>
      <c r="B96" s="1" t="s">
        <v>2221</v>
      </c>
      <c r="C96" t="s">
        <v>2222</v>
      </c>
      <c r="D96" s="1"/>
    </row>
    <row r="97" spans="1:11" ht="18">
      <c r="A97" s="1" t="s">
        <v>2223</v>
      </c>
      <c r="B97" s="1" t="s">
        <v>2224</v>
      </c>
      <c r="D97" s="1"/>
    </row>
    <row r="98" spans="1:11" ht="18">
      <c r="A98" s="1" t="s">
        <v>2225</v>
      </c>
      <c r="B98" s="1" t="s">
        <v>2226</v>
      </c>
      <c r="D98" s="1"/>
    </row>
    <row r="99" spans="1:11" ht="18">
      <c r="A99" s="1" t="s">
        <v>2227</v>
      </c>
      <c r="B99" s="1" t="s">
        <v>2228</v>
      </c>
      <c r="D99" s="1"/>
    </row>
    <row r="100" spans="1:11" ht="18">
      <c r="A100" s="10" t="s">
        <v>2229</v>
      </c>
      <c r="B100" s="1" t="s">
        <v>2230</v>
      </c>
      <c r="D100" s="1"/>
    </row>
    <row r="101" spans="1:11" ht="18">
      <c r="A101" s="10" t="s">
        <v>1990</v>
      </c>
      <c r="B101" s="1"/>
      <c r="D101" s="1"/>
    </row>
    <row r="102" spans="1:11" ht="18">
      <c r="A102" s="10" t="s">
        <v>2231</v>
      </c>
      <c r="B102" s="1"/>
      <c r="D102" s="1"/>
    </row>
    <row r="103" spans="1:11" ht="18">
      <c r="A103" s="10" t="s">
        <v>2232</v>
      </c>
      <c r="B103" s="1" t="s">
        <v>2233</v>
      </c>
      <c r="C103" t="s">
        <v>2234</v>
      </c>
      <c r="D103" s="1"/>
      <c r="E103" t="s">
        <v>2235</v>
      </c>
      <c r="F103" t="s">
        <v>2236</v>
      </c>
      <c r="G103" t="s">
        <v>2237</v>
      </c>
      <c r="H103" t="s">
        <v>2238</v>
      </c>
      <c r="K103" s="2" t="s">
        <v>2239</v>
      </c>
    </row>
    <row r="104" spans="1:11" ht="18">
      <c r="A104" s="10" t="s">
        <v>702</v>
      </c>
      <c r="B104" s="1" t="s">
        <v>701</v>
      </c>
      <c r="D104" s="1"/>
    </row>
    <row r="105" spans="1:11" ht="18">
      <c r="A105" s="10" t="s">
        <v>1621</v>
      </c>
      <c r="B105" s="1" t="s">
        <v>2240</v>
      </c>
      <c r="D105" s="1"/>
    </row>
    <row r="106" spans="1:11" ht="18">
      <c r="A106" s="10" t="s">
        <v>2241</v>
      </c>
      <c r="B106" s="1" t="s">
        <v>2242</v>
      </c>
      <c r="D106" s="1"/>
    </row>
    <row r="107" spans="1:11" ht="18">
      <c r="A107" s="10" t="s">
        <v>2243</v>
      </c>
      <c r="B107" s="1" t="s">
        <v>2244</v>
      </c>
      <c r="D107" s="1"/>
    </row>
    <row r="108" spans="1:11" ht="18">
      <c r="A108" s="10" t="s">
        <v>1591</v>
      </c>
      <c r="B108" s="1" t="s">
        <v>2245</v>
      </c>
      <c r="D108" s="1"/>
    </row>
    <row r="109" spans="1:11" ht="18">
      <c r="A109" s="1" t="s">
        <v>2246</v>
      </c>
      <c r="B109" s="1" t="s">
        <v>2247</v>
      </c>
      <c r="D109" s="1"/>
    </row>
    <row r="110" spans="1:11" ht="18">
      <c r="A110" s="1" t="s">
        <v>2248</v>
      </c>
      <c r="B110" s="1" t="s">
        <v>2249</v>
      </c>
      <c r="D110" s="1"/>
    </row>
    <row r="111" spans="1:11" ht="18">
      <c r="A111" s="1" t="s">
        <v>2250</v>
      </c>
      <c r="B111" s="1" t="s">
        <v>2251</v>
      </c>
      <c r="D111" s="1"/>
    </row>
    <row r="112" spans="1:11" ht="18">
      <c r="A112" s="10" t="s">
        <v>2252</v>
      </c>
      <c r="B112" s="1" t="s">
        <v>2253</v>
      </c>
      <c r="D112" s="1"/>
    </row>
    <row r="113" spans="1:12" ht="18">
      <c r="A113" s="10" t="s">
        <v>2254</v>
      </c>
      <c r="B113" s="1" t="s">
        <v>2255</v>
      </c>
      <c r="D113" s="1"/>
    </row>
    <row r="114" spans="1:12" ht="18">
      <c r="A114" s="10" t="s">
        <v>2256</v>
      </c>
      <c r="B114" s="1" t="s">
        <v>2257</v>
      </c>
      <c r="D114" s="1"/>
    </row>
    <row r="115" spans="1:12" ht="18">
      <c r="A115" s="10" t="s">
        <v>2258</v>
      </c>
      <c r="B115" s="1" t="s">
        <v>2259</v>
      </c>
      <c r="D115" s="1"/>
    </row>
    <row r="116" spans="1:12" ht="18">
      <c r="A116" s="10" t="s">
        <v>2260</v>
      </c>
      <c r="B116" s="1" t="s">
        <v>2261</v>
      </c>
      <c r="D116" s="1"/>
    </row>
    <row r="117" spans="1:12" s="2" customFormat="1" ht="18">
      <c r="A117" s="12" t="s">
        <v>2262</v>
      </c>
      <c r="B117" s="8" t="s">
        <v>2263</v>
      </c>
      <c r="C117" s="2" t="s">
        <v>2264</v>
      </c>
      <c r="D117" s="17" t="s">
        <v>2265</v>
      </c>
      <c r="E117" s="2" t="s">
        <v>2266</v>
      </c>
      <c r="F117" s="2" t="s">
        <v>2267</v>
      </c>
      <c r="G117" s="2" t="s">
        <v>2268</v>
      </c>
      <c r="J117"/>
      <c r="L117"/>
    </row>
    <row r="118" spans="1:12" ht="18">
      <c r="A118" s="10" t="s">
        <v>2269</v>
      </c>
      <c r="B118" s="1" t="s">
        <v>2270</v>
      </c>
      <c r="C118" t="s">
        <v>2271</v>
      </c>
      <c r="D118" s="1"/>
      <c r="E118" t="s">
        <v>2272</v>
      </c>
      <c r="F118" t="s">
        <v>2273</v>
      </c>
      <c r="G118" t="s">
        <v>2274</v>
      </c>
      <c r="H118" t="s">
        <v>2275</v>
      </c>
      <c r="K118" s="2" t="s">
        <v>2276</v>
      </c>
    </row>
    <row r="119" spans="1:12" ht="18">
      <c r="A119" s="10" t="s">
        <v>2277</v>
      </c>
      <c r="B119" s="1" t="s">
        <v>2278</v>
      </c>
      <c r="C119" t="s">
        <v>2279</v>
      </c>
      <c r="E119" t="s">
        <v>2280</v>
      </c>
      <c r="F119" t="s">
        <v>2281</v>
      </c>
      <c r="G119" t="s">
        <v>2282</v>
      </c>
      <c r="H119" t="s">
        <v>2283</v>
      </c>
      <c r="K119" s="2" t="s">
        <v>2284</v>
      </c>
    </row>
    <row r="120" spans="1:12" ht="18">
      <c r="A120" s="10" t="s">
        <v>2285</v>
      </c>
      <c r="B120" s="1" t="s">
        <v>2286</v>
      </c>
      <c r="C120" t="s">
        <v>2287</v>
      </c>
      <c r="D120" s="11"/>
      <c r="E120" t="s">
        <v>2288</v>
      </c>
      <c r="F120" t="s">
        <v>2289</v>
      </c>
      <c r="G120" t="s">
        <v>2290</v>
      </c>
      <c r="H120" t="s">
        <v>2291</v>
      </c>
      <c r="K120" s="2" t="s">
        <v>2292</v>
      </c>
    </row>
    <row r="121" spans="1:12" ht="18">
      <c r="A121" s="10" t="s">
        <v>885</v>
      </c>
      <c r="B121" s="1" t="s">
        <v>886</v>
      </c>
      <c r="D121" s="1"/>
    </row>
    <row r="122" spans="1:12" s="2" customFormat="1" ht="18">
      <c r="A122" s="12" t="s">
        <v>2293</v>
      </c>
      <c r="B122" s="8" t="s">
        <v>2294</v>
      </c>
      <c r="C122" s="2" t="s">
        <v>2295</v>
      </c>
      <c r="D122" s="8" t="s">
        <v>2296</v>
      </c>
      <c r="E122" s="2" t="s">
        <v>2297</v>
      </c>
      <c r="F122" s="2" t="s">
        <v>2298</v>
      </c>
      <c r="G122" s="2" t="s">
        <v>2299</v>
      </c>
      <c r="H122" s="2" t="s">
        <v>2300</v>
      </c>
      <c r="J122"/>
      <c r="L122"/>
    </row>
    <row r="123" spans="1:12" ht="18">
      <c r="A123" s="10" t="s">
        <v>2049</v>
      </c>
      <c r="B123" s="1" t="s">
        <v>2301</v>
      </c>
      <c r="D123" s="1"/>
    </row>
    <row r="124" spans="1:12" ht="18">
      <c r="A124" s="10" t="s">
        <v>2302</v>
      </c>
      <c r="B124" s="1" t="s">
        <v>2301</v>
      </c>
      <c r="D124" s="1"/>
    </row>
    <row r="125" spans="1:12" ht="18">
      <c r="A125" s="10" t="s">
        <v>2303</v>
      </c>
      <c r="B125" s="1" t="s">
        <v>2304</v>
      </c>
      <c r="C125" t="s">
        <v>2305</v>
      </c>
      <c r="D125" s="1"/>
      <c r="E125" t="s">
        <v>2306</v>
      </c>
      <c r="F125" t="s">
        <v>2307</v>
      </c>
      <c r="G125" t="s">
        <v>2308</v>
      </c>
      <c r="H125" t="s">
        <v>2309</v>
      </c>
      <c r="K125" s="2" t="s">
        <v>2310</v>
      </c>
    </row>
    <row r="126" spans="1:12" ht="18">
      <c r="A126" s="10" t="s">
        <v>2311</v>
      </c>
      <c r="B126" s="1" t="s">
        <v>2312</v>
      </c>
      <c r="C126" t="s">
        <v>2313</v>
      </c>
      <c r="D126" s="1"/>
      <c r="E126" t="s">
        <v>2314</v>
      </c>
      <c r="F126" t="s">
        <v>2315</v>
      </c>
      <c r="G126" t="s">
        <v>2316</v>
      </c>
      <c r="H126" t="s">
        <v>2317</v>
      </c>
      <c r="K126" s="2" t="s">
        <v>2318</v>
      </c>
    </row>
    <row r="127" spans="1:12" ht="18">
      <c r="A127" s="10" t="s">
        <v>2319</v>
      </c>
      <c r="B127" s="1"/>
      <c r="D127" s="1"/>
    </row>
    <row r="128" spans="1:12" ht="18">
      <c r="A128" s="10" t="s">
        <v>2320</v>
      </c>
      <c r="B128" s="1" t="s">
        <v>2321</v>
      </c>
      <c r="D128" s="1"/>
    </row>
    <row r="129" spans="1:11" ht="18">
      <c r="A129" s="10" t="s">
        <v>1009</v>
      </c>
      <c r="B129" s="1"/>
      <c r="D129" s="1"/>
    </row>
    <row r="130" spans="1:11" ht="18">
      <c r="A130" s="10" t="s">
        <v>2322</v>
      </c>
      <c r="B130" s="1" t="s">
        <v>1786</v>
      </c>
      <c r="D130" s="1"/>
    </row>
    <row r="131" spans="1:11" ht="18">
      <c r="A131" s="10"/>
      <c r="B131" s="1"/>
      <c r="D131" s="1"/>
      <c r="K131" s="6"/>
    </row>
    <row r="132" spans="1:11" ht="18">
      <c r="A132" s="10"/>
      <c r="B132" s="1"/>
      <c r="D132" s="1"/>
      <c r="K132" s="6"/>
    </row>
  </sheetData>
  <phoneticPr fontId="1" type="noConversion"/>
  <conditionalFormatting sqref="A161:A1048576 A1:A133">
    <cfRule type="duplicateValues" dxfId="7" priority="3"/>
  </conditionalFormatting>
  <conditionalFormatting sqref="A185:A1048576 A1:A133">
    <cfRule type="duplicateValues" dxfId="6" priority="11"/>
  </conditionalFormatting>
  <conditionalFormatting sqref="A185:A1048576">
    <cfRule type="duplicateValues" dxfId="5" priority="6"/>
  </conditionalFormatting>
  <conditionalFormatting sqref="B9:B10">
    <cfRule type="duplicateValues" dxfId="4" priority="1"/>
    <cfRule type="duplicateValues" dxfId="3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7B9F4-C19F-4B6B-AB7F-2A433AD68140}">
  <dimension ref="A1:M41"/>
  <sheetViews>
    <sheetView workbookViewId="0">
      <selection activeCell="U35" sqref="U35"/>
    </sheetView>
  </sheetViews>
  <sheetFormatPr baseColWidth="10" defaultColWidth="8.83203125" defaultRowHeight="15"/>
  <cols>
    <col min="11" max="11" width="8.6640625" style="2"/>
    <col min="13" max="13" width="8.6640625" style="2"/>
  </cols>
  <sheetData>
    <row r="1" spans="1:6" ht="18">
      <c r="A1" s="1" t="s">
        <v>2323</v>
      </c>
    </row>
    <row r="2" spans="1:6" ht="18">
      <c r="A2" s="1" t="s">
        <v>2324</v>
      </c>
    </row>
    <row r="3" spans="1:6" ht="18">
      <c r="A3" s="1" t="s">
        <v>2325</v>
      </c>
      <c r="F3" t="s">
        <v>2326</v>
      </c>
    </row>
    <row r="4" spans="1:6" ht="18" customHeight="1">
      <c r="A4" s="1" t="s">
        <v>2327</v>
      </c>
      <c r="C4" t="s">
        <v>1960</v>
      </c>
      <c r="E4" t="s">
        <v>11</v>
      </c>
    </row>
    <row r="5" spans="1:6" ht="18">
      <c r="A5" s="1" t="s">
        <v>1591</v>
      </c>
      <c r="C5" t="s">
        <v>2245</v>
      </c>
    </row>
    <row r="6" spans="1:6" ht="18">
      <c r="A6" s="1" t="s">
        <v>2328</v>
      </c>
      <c r="C6" s="1" t="s">
        <v>2329</v>
      </c>
    </row>
    <row r="7" spans="1:6" ht="18">
      <c r="A7" s="1" t="s">
        <v>2330</v>
      </c>
    </row>
    <row r="8" spans="1:6">
      <c r="A8" t="s">
        <v>2331</v>
      </c>
    </row>
    <row r="9" spans="1:6" ht="18">
      <c r="A9" s="1" t="s">
        <v>1966</v>
      </c>
    </row>
    <row r="10" spans="1:6" ht="18">
      <c r="A10" s="1" t="s">
        <v>1967</v>
      </c>
    </row>
    <row r="11" spans="1:6" ht="18">
      <c r="A11" s="1" t="s">
        <v>1962</v>
      </c>
      <c r="F11" t="s">
        <v>2332</v>
      </c>
    </row>
    <row r="12" spans="1:6" ht="18">
      <c r="A12" s="1"/>
    </row>
    <row r="13" spans="1:6" ht="18">
      <c r="A13" s="1" t="s">
        <v>1970</v>
      </c>
    </row>
    <row r="14" spans="1:6" ht="18">
      <c r="A14" s="1" t="s">
        <v>1972</v>
      </c>
    </row>
    <row r="15" spans="1:6" ht="18">
      <c r="A15" s="1" t="s">
        <v>1974</v>
      </c>
    </row>
    <row r="16" spans="1:6" ht="18">
      <c r="A16" s="1" t="s">
        <v>1983</v>
      </c>
    </row>
    <row r="17" spans="1:1" ht="18">
      <c r="A17" s="1" t="s">
        <v>2333</v>
      </c>
    </row>
    <row r="18" spans="1:1" ht="18">
      <c r="A18" s="1" t="s">
        <v>2206</v>
      </c>
    </row>
    <row r="19" spans="1:1" ht="18">
      <c r="A19" s="1" t="s">
        <v>2047</v>
      </c>
    </row>
    <row r="20" spans="1:1" ht="18">
      <c r="A20" s="1" t="s">
        <v>2334</v>
      </c>
    </row>
    <row r="21" spans="1:1" ht="18">
      <c r="A21" s="1" t="s">
        <v>2335</v>
      </c>
    </row>
    <row r="22" spans="1:1" ht="18">
      <c r="A22" s="1" t="s">
        <v>1135</v>
      </c>
    </row>
    <row r="23" spans="1:1" ht="18">
      <c r="A23" s="1" t="s">
        <v>2336</v>
      </c>
    </row>
    <row r="24" spans="1:1" ht="18">
      <c r="A24" s="1" t="s">
        <v>2337</v>
      </c>
    </row>
    <row r="25" spans="1:1" ht="18">
      <c r="A25" s="1" t="s">
        <v>1147</v>
      </c>
    </row>
    <row r="26" spans="1:1" ht="18">
      <c r="A26" s="1" t="s">
        <v>2338</v>
      </c>
    </row>
    <row r="27" spans="1:1" ht="18">
      <c r="A27" s="1" t="s">
        <v>2339</v>
      </c>
    </row>
    <row r="28" spans="1:1" ht="18">
      <c r="A28" s="1" t="s">
        <v>2340</v>
      </c>
    </row>
    <row r="29" spans="1:1" ht="18">
      <c r="A29" s="1" t="s">
        <v>2341</v>
      </c>
    </row>
    <row r="30" spans="1:1">
      <c r="A30" t="s">
        <v>2342</v>
      </c>
    </row>
    <row r="31" spans="1:1" ht="18">
      <c r="A31" s="1" t="s">
        <v>2343</v>
      </c>
    </row>
    <row r="32" spans="1:1" ht="18">
      <c r="A32" s="1" t="s">
        <v>2344</v>
      </c>
    </row>
    <row r="33" spans="1:6" ht="18">
      <c r="A33" s="1" t="s">
        <v>2019</v>
      </c>
    </row>
    <row r="34" spans="1:6" ht="18">
      <c r="A34" s="1" t="s">
        <v>2345</v>
      </c>
    </row>
    <row r="35" spans="1:6" ht="18">
      <c r="A35" s="1" t="s">
        <v>2346</v>
      </c>
    </row>
    <row r="36" spans="1:6" ht="18">
      <c r="A36" s="1" t="s">
        <v>2347</v>
      </c>
      <c r="F36" t="s">
        <v>2348</v>
      </c>
    </row>
    <row r="37" spans="1:6" ht="18">
      <c r="A37" s="1" t="s">
        <v>2029</v>
      </c>
    </row>
    <row r="38" spans="1:6" ht="18">
      <c r="A38" s="1" t="s">
        <v>2349</v>
      </c>
    </row>
    <row r="39" spans="1:6" ht="18">
      <c r="A39" s="1" t="s">
        <v>2350</v>
      </c>
    </row>
    <row r="40" spans="1:6" ht="18">
      <c r="A40" s="1" t="s">
        <v>2351</v>
      </c>
    </row>
    <row r="41" spans="1:6">
      <c r="A41">
        <v>534</v>
      </c>
    </row>
  </sheetData>
  <phoneticPr fontId="1" type="noConversion"/>
  <conditionalFormatting sqref="A4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58"/>
  <sheetViews>
    <sheetView topLeftCell="A43" workbookViewId="0">
      <selection activeCell="D62" sqref="D62"/>
    </sheetView>
  </sheetViews>
  <sheetFormatPr baseColWidth="10" defaultColWidth="8.83203125" defaultRowHeight="15"/>
  <sheetData>
    <row r="1" spans="2:13" ht="18">
      <c r="B1" s="1" t="s">
        <v>1790</v>
      </c>
      <c r="F1" t="s">
        <v>1791</v>
      </c>
    </row>
    <row r="2" spans="2:13" ht="18">
      <c r="B2" s="1" t="s">
        <v>1792</v>
      </c>
      <c r="G2" t="s">
        <v>1793</v>
      </c>
      <c r="H2" s="4" t="s">
        <v>1794</v>
      </c>
      <c r="I2" t="s">
        <v>1795</v>
      </c>
      <c r="J2" t="s">
        <v>1796</v>
      </c>
      <c r="K2" t="s">
        <v>1797</v>
      </c>
      <c r="L2" t="s">
        <v>1798</v>
      </c>
      <c r="M2" t="s">
        <v>1799</v>
      </c>
    </row>
    <row r="3" spans="2:13" ht="18">
      <c r="B3" s="1" t="s">
        <v>1800</v>
      </c>
      <c r="D3" t="s">
        <v>1801</v>
      </c>
      <c r="F3" t="s">
        <v>1802</v>
      </c>
    </row>
    <row r="9" spans="2:13">
      <c r="B9">
        <v>196</v>
      </c>
    </row>
    <row r="10" spans="2:13" ht="42" customHeight="1">
      <c r="B10" s="3" t="s">
        <v>1803</v>
      </c>
      <c r="C10" s="3" t="s">
        <v>1804</v>
      </c>
      <c r="D10" s="3" t="s">
        <v>1805</v>
      </c>
    </row>
    <row r="11" spans="2:13" ht="28.25" customHeight="1">
      <c r="B11" s="3" t="s">
        <v>1806</v>
      </c>
      <c r="C11" s="3" t="s">
        <v>1807</v>
      </c>
      <c r="D11" s="3" t="s">
        <v>1808</v>
      </c>
    </row>
    <row r="12" spans="2:13" ht="28.25" customHeight="1">
      <c r="B12" s="3" t="s">
        <v>1809</v>
      </c>
      <c r="C12" s="3" t="s">
        <v>1810</v>
      </c>
      <c r="D12" s="3" t="s">
        <v>1811</v>
      </c>
    </row>
    <row r="13" spans="2:13" ht="28.25" customHeight="1">
      <c r="B13" s="3" t="s">
        <v>1812</v>
      </c>
      <c r="C13" s="3" t="s">
        <v>1813</v>
      </c>
      <c r="D13" s="3" t="s">
        <v>1814</v>
      </c>
    </row>
    <row r="14" spans="2:13" ht="42" customHeight="1">
      <c r="B14" s="3" t="s">
        <v>1815</v>
      </c>
      <c r="C14" s="3" t="s">
        <v>1816</v>
      </c>
      <c r="D14" s="3" t="s">
        <v>1817</v>
      </c>
    </row>
    <row r="15" spans="2:13" ht="28.25" customHeight="1">
      <c r="B15" s="3" t="s">
        <v>1818</v>
      </c>
      <c r="C15" s="3" t="s">
        <v>1819</v>
      </c>
      <c r="D15" s="3" t="s">
        <v>1820</v>
      </c>
    </row>
    <row r="16" spans="2:13" ht="28.25" customHeight="1">
      <c r="B16" s="3" t="s">
        <v>1821</v>
      </c>
      <c r="C16" s="3" t="s">
        <v>1822</v>
      </c>
      <c r="D16" s="3" t="s">
        <v>1823</v>
      </c>
    </row>
    <row r="17" spans="2:4" ht="28.25" customHeight="1">
      <c r="B17" s="3" t="s">
        <v>1824</v>
      </c>
      <c r="C17" s="3" t="s">
        <v>1825</v>
      </c>
      <c r="D17" s="3" t="s">
        <v>1826</v>
      </c>
    </row>
    <row r="18" spans="2:4" ht="42" customHeight="1">
      <c r="B18" s="3" t="s">
        <v>1827</v>
      </c>
      <c r="C18" s="3" t="s">
        <v>1827</v>
      </c>
      <c r="D18" s="3" t="s">
        <v>1828</v>
      </c>
    </row>
    <row r="19" spans="2:4" ht="28.25" customHeight="1">
      <c r="B19" s="3" t="s">
        <v>1829</v>
      </c>
      <c r="C19" s="3" t="s">
        <v>1830</v>
      </c>
      <c r="D19" s="3" t="s">
        <v>1831</v>
      </c>
    </row>
    <row r="20" spans="2:4" ht="28.25" customHeight="1">
      <c r="B20" s="3" t="s">
        <v>1832</v>
      </c>
      <c r="C20" s="3" t="s">
        <v>1833</v>
      </c>
      <c r="D20" s="3" t="s">
        <v>1834</v>
      </c>
    </row>
    <row r="21" spans="2:4" ht="28.25" customHeight="1">
      <c r="B21" s="3" t="s">
        <v>1835</v>
      </c>
      <c r="C21" s="3" t="s">
        <v>1833</v>
      </c>
      <c r="D21" s="3" t="s">
        <v>1836</v>
      </c>
    </row>
    <row r="22" spans="2:4" ht="28.25" customHeight="1">
      <c r="B22" s="3" t="s">
        <v>1837</v>
      </c>
      <c r="C22" s="3" t="s">
        <v>1838</v>
      </c>
      <c r="D22" s="3" t="s">
        <v>1839</v>
      </c>
    </row>
    <row r="23" spans="2:4" ht="28.25" customHeight="1">
      <c r="B23" s="3" t="s">
        <v>1840</v>
      </c>
      <c r="C23" s="3" t="s">
        <v>1838</v>
      </c>
      <c r="D23" s="3" t="s">
        <v>1841</v>
      </c>
    </row>
    <row r="24" spans="2:4" ht="28.25" customHeight="1">
      <c r="B24" s="3" t="s">
        <v>1842</v>
      </c>
      <c r="C24" s="3" t="s">
        <v>1843</v>
      </c>
      <c r="D24" s="3" t="s">
        <v>1844</v>
      </c>
    </row>
    <row r="25" spans="2:4" ht="28.25" customHeight="1">
      <c r="B25" s="3" t="s">
        <v>1845</v>
      </c>
      <c r="C25" s="3" t="s">
        <v>1846</v>
      </c>
      <c r="D25" s="3" t="s">
        <v>1847</v>
      </c>
    </row>
    <row r="26" spans="2:4" ht="42" customHeight="1">
      <c r="B26" s="3" t="s">
        <v>1848</v>
      </c>
      <c r="C26" s="3" t="s">
        <v>1848</v>
      </c>
      <c r="D26" s="3" t="s">
        <v>1849</v>
      </c>
    </row>
    <row r="27" spans="2:4" ht="28.25" customHeight="1">
      <c r="B27" s="3" t="s">
        <v>1850</v>
      </c>
      <c r="C27" s="3" t="s">
        <v>1850</v>
      </c>
      <c r="D27" s="3" t="s">
        <v>1851</v>
      </c>
    </row>
    <row r="28" spans="2:4" ht="28.25" customHeight="1">
      <c r="B28" s="3" t="s">
        <v>1852</v>
      </c>
      <c r="C28" s="3" t="s">
        <v>1853</v>
      </c>
      <c r="D28" s="3" t="s">
        <v>1854</v>
      </c>
    </row>
    <row r="29" spans="2:4" ht="28.25" customHeight="1">
      <c r="B29" s="3" t="s">
        <v>1855</v>
      </c>
      <c r="C29" s="3" t="s">
        <v>1856</v>
      </c>
      <c r="D29" s="3" t="s">
        <v>1857</v>
      </c>
    </row>
    <row r="30" spans="2:4" ht="42" customHeight="1">
      <c r="B30" s="3" t="s">
        <v>1858</v>
      </c>
      <c r="C30" s="3" t="s">
        <v>1859</v>
      </c>
      <c r="D30" s="3" t="s">
        <v>1860</v>
      </c>
    </row>
    <row r="31" spans="2:4" ht="28.25" customHeight="1">
      <c r="B31" s="3" t="s">
        <v>1861</v>
      </c>
      <c r="C31" s="3" t="s">
        <v>1862</v>
      </c>
      <c r="D31" s="3" t="s">
        <v>1863</v>
      </c>
    </row>
    <row r="32" spans="2:4" ht="28.25" customHeight="1">
      <c r="B32" s="3" t="s">
        <v>1864</v>
      </c>
      <c r="C32" s="3" t="s">
        <v>1865</v>
      </c>
      <c r="D32" s="3" t="s">
        <v>1866</v>
      </c>
    </row>
    <row r="33" spans="2:4" ht="28.25" customHeight="1">
      <c r="B33" s="3" t="s">
        <v>1867</v>
      </c>
      <c r="C33" s="3" t="s">
        <v>1868</v>
      </c>
      <c r="D33" s="3" t="s">
        <v>1869</v>
      </c>
    </row>
    <row r="34" spans="2:4" ht="28.25" customHeight="1">
      <c r="B34" s="3" t="s">
        <v>1870</v>
      </c>
      <c r="C34" s="3" t="s">
        <v>1868</v>
      </c>
      <c r="D34" s="3" t="s">
        <v>1871</v>
      </c>
    </row>
    <row r="35" spans="2:4" ht="28.25" customHeight="1">
      <c r="B35" s="3" t="s">
        <v>1872</v>
      </c>
      <c r="C35" s="3" t="s">
        <v>1873</v>
      </c>
      <c r="D35" s="3" t="s">
        <v>1874</v>
      </c>
    </row>
    <row r="36" spans="2:4" ht="28.25" customHeight="1">
      <c r="B36" s="3" t="s">
        <v>1875</v>
      </c>
      <c r="C36" s="3" t="s">
        <v>1873</v>
      </c>
      <c r="D36" s="3" t="s">
        <v>1876</v>
      </c>
    </row>
    <row r="37" spans="2:4" ht="28.25" customHeight="1">
      <c r="B37" s="3" t="s">
        <v>1877</v>
      </c>
      <c r="C37" s="3" t="s">
        <v>1878</v>
      </c>
      <c r="D37" s="3" t="s">
        <v>1879</v>
      </c>
    </row>
    <row r="38" spans="2:4" ht="28.25" customHeight="1">
      <c r="B38" s="3" t="s">
        <v>1880</v>
      </c>
      <c r="C38" s="3" t="s">
        <v>1881</v>
      </c>
      <c r="D38" s="3" t="s">
        <v>1882</v>
      </c>
    </row>
    <row r="39" spans="2:4" ht="28.25" customHeight="1">
      <c r="B39" s="3" t="s">
        <v>1883</v>
      </c>
      <c r="C39" s="3" t="s">
        <v>1881</v>
      </c>
      <c r="D39" s="3" t="s">
        <v>1884</v>
      </c>
    </row>
    <row r="40" spans="2:4" ht="28.25" customHeight="1">
      <c r="B40" s="3" t="s">
        <v>1885</v>
      </c>
      <c r="C40" s="3" t="s">
        <v>1881</v>
      </c>
      <c r="D40" s="3" t="s">
        <v>1886</v>
      </c>
    </row>
    <row r="41" spans="2:4" ht="28.25" customHeight="1">
      <c r="B41" s="3" t="s">
        <v>1887</v>
      </c>
      <c r="C41" s="3" t="s">
        <v>1888</v>
      </c>
      <c r="D41" s="3" t="s">
        <v>1889</v>
      </c>
    </row>
    <row r="42" spans="2:4" ht="28.25" customHeight="1">
      <c r="B42" s="3" t="s">
        <v>1890</v>
      </c>
      <c r="C42" s="3" t="s">
        <v>1891</v>
      </c>
      <c r="D42" s="3" t="s">
        <v>1892</v>
      </c>
    </row>
    <row r="43" spans="2:4" ht="42" customHeight="1">
      <c r="B43" s="3" t="s">
        <v>1893</v>
      </c>
      <c r="C43" s="3" t="s">
        <v>1894</v>
      </c>
      <c r="D43" s="3" t="s">
        <v>1895</v>
      </c>
    </row>
    <row r="44" spans="2:4" ht="28.25" customHeight="1">
      <c r="B44" s="3" t="s">
        <v>1896</v>
      </c>
      <c r="C44" s="3" t="s">
        <v>1897</v>
      </c>
      <c r="D44" s="3" t="s">
        <v>1898</v>
      </c>
    </row>
    <row r="45" spans="2:4" ht="28.25" customHeight="1">
      <c r="B45" s="3" t="s">
        <v>1899</v>
      </c>
      <c r="C45" s="3" t="s">
        <v>1900</v>
      </c>
      <c r="D45" s="3" t="s">
        <v>1901</v>
      </c>
    </row>
    <row r="46" spans="2:4" ht="18" customHeight="1">
      <c r="B46" s="1" t="s">
        <v>1902</v>
      </c>
      <c r="C46" s="1" t="s">
        <v>1903</v>
      </c>
      <c r="D46" s="1" t="s">
        <v>1904</v>
      </c>
    </row>
    <row r="47" spans="2:4" ht="18" customHeight="1">
      <c r="B47" s="1" t="s">
        <v>1905</v>
      </c>
      <c r="C47" s="1" t="s">
        <v>1906</v>
      </c>
      <c r="D47" s="1" t="s">
        <v>1907</v>
      </c>
    </row>
    <row r="48" spans="2:4" ht="18" customHeight="1">
      <c r="B48" t="s">
        <v>1908</v>
      </c>
      <c r="C48" s="1" t="s">
        <v>1909</v>
      </c>
      <c r="D48" t="s">
        <v>1910</v>
      </c>
    </row>
    <row r="49" spans="2:4" ht="18" customHeight="1">
      <c r="B49" t="s">
        <v>1911</v>
      </c>
      <c r="C49" s="1" t="s">
        <v>1912</v>
      </c>
      <c r="D49" s="1" t="s">
        <v>1913</v>
      </c>
    </row>
    <row r="50" spans="2:4" ht="18" customHeight="1">
      <c r="B50" s="1" t="s">
        <v>1914</v>
      </c>
      <c r="C50" s="1" t="s">
        <v>1912</v>
      </c>
      <c r="D50" s="1" t="s">
        <v>1915</v>
      </c>
    </row>
    <row r="51" spans="2:4" ht="18" customHeight="1">
      <c r="B51" s="1" t="s">
        <v>1916</v>
      </c>
      <c r="C51" t="s">
        <v>1917</v>
      </c>
      <c r="D51" t="s">
        <v>1918</v>
      </c>
    </row>
    <row r="53" spans="2:4" ht="18" customHeight="1">
      <c r="B53" s="1" t="s">
        <v>1919</v>
      </c>
      <c r="C53" s="1" t="s">
        <v>1920</v>
      </c>
      <c r="D53" s="1" t="s">
        <v>1921</v>
      </c>
    </row>
    <row r="54" spans="2:4" ht="18" customHeight="1">
      <c r="B54" t="s">
        <v>1922</v>
      </c>
      <c r="C54" s="1" t="s">
        <v>1923</v>
      </c>
      <c r="D54" s="1" t="s">
        <v>1924</v>
      </c>
    </row>
    <row r="55" spans="2:4" ht="18" customHeight="1">
      <c r="B55" t="s">
        <v>1925</v>
      </c>
      <c r="C55" s="1" t="s">
        <v>1923</v>
      </c>
      <c r="D55" t="s">
        <v>1926</v>
      </c>
    </row>
    <row r="56" spans="2:4" ht="18" customHeight="1">
      <c r="B56" s="1" t="s">
        <v>1927</v>
      </c>
      <c r="C56" s="1" t="s">
        <v>1928</v>
      </c>
      <c r="D56" s="1" t="s">
        <v>1929</v>
      </c>
    </row>
    <row r="57" spans="2:4" ht="18" customHeight="1">
      <c r="B57" s="1" t="s">
        <v>1930</v>
      </c>
      <c r="C57" s="1" t="s">
        <v>1931</v>
      </c>
      <c r="D57" s="1" t="s">
        <v>1932</v>
      </c>
    </row>
    <row r="58" spans="2:4" ht="18" customHeight="1">
      <c r="B58" t="s">
        <v>1933</v>
      </c>
      <c r="C58" s="1" t="s">
        <v>1934</v>
      </c>
      <c r="D58" s="1" t="s">
        <v>1935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2"/>
  <sheetViews>
    <sheetView workbookViewId="0">
      <selection activeCell="E6" sqref="E6"/>
    </sheetView>
  </sheetViews>
  <sheetFormatPr baseColWidth="10" defaultColWidth="8.83203125" defaultRowHeight="15"/>
  <sheetData>
    <row r="1" spans="1:8" ht="18">
      <c r="A1" t="s">
        <v>1936</v>
      </c>
      <c r="C1" s="1" t="s">
        <v>1937</v>
      </c>
      <c r="E1" t="s">
        <v>1938</v>
      </c>
      <c r="G1" t="s">
        <v>1939</v>
      </c>
      <c r="H1" s="1" t="s">
        <v>1940</v>
      </c>
    </row>
    <row r="2" spans="1:8" ht="18">
      <c r="A2" t="s">
        <v>1941</v>
      </c>
      <c r="E2" s="1" t="s">
        <v>1942</v>
      </c>
      <c r="G2" s="1" t="s">
        <v>1943</v>
      </c>
    </row>
    <row r="20" spans="2:2" ht="18" customHeight="1">
      <c r="B20" s="1" t="s">
        <v>1944</v>
      </c>
    </row>
    <row r="21" spans="2:2">
      <c r="B21" t="s">
        <v>1945</v>
      </c>
    </row>
    <row r="22" spans="2:2" ht="18" customHeight="1">
      <c r="B22" s="1" t="s">
        <v>1946</v>
      </c>
    </row>
    <row r="23" spans="2:2">
      <c r="B23" t="s">
        <v>1947</v>
      </c>
    </row>
    <row r="24" spans="2:2" ht="18" customHeight="1">
      <c r="B24" s="1" t="s">
        <v>1948</v>
      </c>
    </row>
    <row r="25" spans="2:2" ht="18" customHeight="1">
      <c r="B25" s="1" t="s">
        <v>1949</v>
      </c>
    </row>
    <row r="26" spans="2:2" ht="18" customHeight="1">
      <c r="B26" s="1" t="s">
        <v>1950</v>
      </c>
    </row>
    <row r="27" spans="2:2" ht="18" customHeight="1">
      <c r="B27" s="1" t="s">
        <v>1951</v>
      </c>
    </row>
    <row r="28" spans="2:2">
      <c r="B28" t="s">
        <v>1952</v>
      </c>
    </row>
    <row r="29" spans="2:2" s="2" customFormat="1">
      <c r="B29" s="2" t="s">
        <v>1953</v>
      </c>
    </row>
    <row r="30" spans="2:2" ht="18" customHeight="1">
      <c r="B30" s="1" t="s">
        <v>1954</v>
      </c>
    </row>
    <row r="31" spans="2:2">
      <c r="B31" t="s">
        <v>1916</v>
      </c>
    </row>
    <row r="32" spans="2:2" ht="18" customHeight="1">
      <c r="B32" s="1" t="s">
        <v>1955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A17" workbookViewId="0">
      <selection activeCell="H20" sqref="H20"/>
    </sheetView>
  </sheetViews>
  <sheetFormatPr baseColWidth="10" defaultColWidth="8.83203125" defaultRowHeight="15"/>
  <sheetData/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D340-A398-BD48-B18A-6116890F6A3E}">
  <dimension ref="B3:B238"/>
  <sheetViews>
    <sheetView tabSelected="1" workbookViewId="0">
      <selection activeCell="B3" sqref="B3:B238"/>
    </sheetView>
  </sheetViews>
  <sheetFormatPr baseColWidth="10" defaultRowHeight="15"/>
  <sheetData>
    <row r="3" spans="2:2">
      <c r="B3" t="s">
        <v>3950</v>
      </c>
    </row>
    <row r="5" spans="2:2">
      <c r="B5" t="s">
        <v>3951</v>
      </c>
    </row>
    <row r="7" spans="2:2">
      <c r="B7" t="s">
        <v>3952</v>
      </c>
    </row>
    <row r="9" spans="2:2">
      <c r="B9" t="s">
        <v>3951</v>
      </c>
    </row>
    <row r="11" spans="2:2">
      <c r="B11" t="s">
        <v>3953</v>
      </c>
    </row>
    <row r="13" spans="2:2">
      <c r="B13" t="s">
        <v>3954</v>
      </c>
    </row>
    <row r="15" spans="2:2">
      <c r="B15" t="s">
        <v>3951</v>
      </c>
    </row>
    <row r="17" spans="2:2">
      <c r="B17" t="s">
        <v>3951</v>
      </c>
    </row>
    <row r="19" spans="2:2">
      <c r="B19" t="s">
        <v>3951</v>
      </c>
    </row>
    <row r="21" spans="2:2">
      <c r="B21" t="s">
        <v>3951</v>
      </c>
    </row>
    <row r="23" spans="2:2">
      <c r="B23" t="s">
        <v>3955</v>
      </c>
    </row>
    <row r="25" spans="2:2">
      <c r="B25" t="s">
        <v>3956</v>
      </c>
    </row>
    <row r="27" spans="2:2">
      <c r="B27" t="s">
        <v>3957</v>
      </c>
    </row>
    <row r="29" spans="2:2">
      <c r="B29" t="s">
        <v>3958</v>
      </c>
    </row>
    <row r="31" spans="2:2">
      <c r="B31" t="s">
        <v>3959</v>
      </c>
    </row>
    <row r="33" spans="2:2">
      <c r="B33" t="s">
        <v>3960</v>
      </c>
    </row>
    <row r="34" spans="2:2">
      <c r="B34" t="s">
        <v>3961</v>
      </c>
    </row>
    <row r="35" spans="2:2">
      <c r="B35" t="s">
        <v>3962</v>
      </c>
    </row>
    <row r="36" spans="2:2">
      <c r="B36" t="s">
        <v>3963</v>
      </c>
    </row>
    <row r="37" spans="2:2">
      <c r="B37" t="s">
        <v>3964</v>
      </c>
    </row>
    <row r="39" spans="2:2">
      <c r="B39" t="s">
        <v>3965</v>
      </c>
    </row>
    <row r="40" spans="2:2">
      <c r="B40" t="s">
        <v>3966</v>
      </c>
    </row>
    <row r="41" spans="2:2">
      <c r="B41" t="s">
        <v>3967</v>
      </c>
    </row>
    <row r="42" spans="2:2">
      <c r="B42" t="s">
        <v>3968</v>
      </c>
    </row>
    <row r="43" spans="2:2">
      <c r="B43" t="s">
        <v>3969</v>
      </c>
    </row>
    <row r="44" spans="2:2">
      <c r="B44" t="s">
        <v>3970</v>
      </c>
    </row>
    <row r="45" spans="2:2">
      <c r="B45" t="s">
        <v>3971</v>
      </c>
    </row>
    <row r="47" spans="2:2">
      <c r="B47" t="s">
        <v>3972</v>
      </c>
    </row>
    <row r="48" spans="2:2">
      <c r="B48" t="s">
        <v>3973</v>
      </c>
    </row>
    <row r="49" spans="2:2">
      <c r="B49" t="s">
        <v>3974</v>
      </c>
    </row>
    <row r="50" spans="2:2">
      <c r="B50" t="s">
        <v>3975</v>
      </c>
    </row>
    <row r="51" spans="2:2">
      <c r="B51" t="s">
        <v>3976</v>
      </c>
    </row>
    <row r="53" spans="2:2">
      <c r="B53" t="s">
        <v>3977</v>
      </c>
    </row>
    <row r="55" spans="2:2">
      <c r="B55" t="s">
        <v>3978</v>
      </c>
    </row>
    <row r="57" spans="2:2">
      <c r="B57" t="s">
        <v>3979</v>
      </c>
    </row>
    <row r="59" spans="2:2">
      <c r="B59" t="s">
        <v>3980</v>
      </c>
    </row>
    <row r="61" spans="2:2">
      <c r="B61" t="s">
        <v>3981</v>
      </c>
    </row>
    <row r="63" spans="2:2">
      <c r="B63" t="s">
        <v>3982</v>
      </c>
    </row>
    <row r="64" spans="2:2">
      <c r="B64" t="s">
        <v>3983</v>
      </c>
    </row>
    <row r="65" spans="2:2">
      <c r="B65" t="s">
        <v>3984</v>
      </c>
    </row>
    <row r="66" spans="2:2">
      <c r="B66" t="s">
        <v>3985</v>
      </c>
    </row>
    <row r="67" spans="2:2">
      <c r="B67" t="s">
        <v>3986</v>
      </c>
    </row>
    <row r="68" spans="2:2">
      <c r="B68" t="s">
        <v>3987</v>
      </c>
    </row>
    <row r="69" spans="2:2">
      <c r="B69" t="s">
        <v>3988</v>
      </c>
    </row>
    <row r="70" spans="2:2">
      <c r="B70" t="s">
        <v>3989</v>
      </c>
    </row>
    <row r="71" spans="2:2">
      <c r="B71" t="s">
        <v>3990</v>
      </c>
    </row>
    <row r="73" spans="2:2">
      <c r="B73" t="s">
        <v>3991</v>
      </c>
    </row>
    <row r="75" spans="2:2">
      <c r="B75" t="s">
        <v>3992</v>
      </c>
    </row>
    <row r="76" spans="2:2">
      <c r="B76" t="s">
        <v>3993</v>
      </c>
    </row>
    <row r="77" spans="2:2">
      <c r="B77" t="s">
        <v>3994</v>
      </c>
    </row>
    <row r="78" spans="2:2">
      <c r="B78" t="s">
        <v>3995</v>
      </c>
    </row>
    <row r="79" spans="2:2">
      <c r="B79" t="s">
        <v>3996</v>
      </c>
    </row>
    <row r="80" spans="2:2">
      <c r="B80" t="s">
        <v>3997</v>
      </c>
    </row>
    <row r="81" spans="2:2">
      <c r="B81" t="s">
        <v>3998</v>
      </c>
    </row>
    <row r="82" spans="2:2">
      <c r="B82" t="s">
        <v>3999</v>
      </c>
    </row>
    <row r="83" spans="2:2">
      <c r="B83" t="s">
        <v>4000</v>
      </c>
    </row>
    <row r="84" spans="2:2">
      <c r="B84" t="s">
        <v>4001</v>
      </c>
    </row>
    <row r="85" spans="2:2">
      <c r="B85" t="s">
        <v>4002</v>
      </c>
    </row>
    <row r="86" spans="2:2">
      <c r="B86" t="s">
        <v>4003</v>
      </c>
    </row>
    <row r="87" spans="2:2">
      <c r="B87" t="s">
        <v>3990</v>
      </c>
    </row>
    <row r="89" spans="2:2">
      <c r="B89" t="s">
        <v>4004</v>
      </c>
    </row>
    <row r="91" spans="2:2">
      <c r="B91" t="s">
        <v>4005</v>
      </c>
    </row>
    <row r="92" spans="2:2">
      <c r="B92" t="s">
        <v>4006</v>
      </c>
    </row>
    <row r="93" spans="2:2">
      <c r="B93" t="s">
        <v>4007</v>
      </c>
    </row>
    <row r="94" spans="2:2">
      <c r="B94" t="s">
        <v>4008</v>
      </c>
    </row>
    <row r="95" spans="2:2">
      <c r="B95" t="s">
        <v>4009</v>
      </c>
    </row>
    <row r="97" spans="2:2">
      <c r="B97" t="s">
        <v>4010</v>
      </c>
    </row>
    <row r="99" spans="2:2">
      <c r="B99" t="s">
        <v>4011</v>
      </c>
    </row>
    <row r="101" spans="2:2">
      <c r="B101" t="s">
        <v>4012</v>
      </c>
    </row>
    <row r="103" spans="2:2">
      <c r="B103" t="s">
        <v>4013</v>
      </c>
    </row>
    <row r="104" spans="2:2">
      <c r="B104" t="s">
        <v>4014</v>
      </c>
    </row>
    <row r="105" spans="2:2">
      <c r="B105" t="s">
        <v>4015</v>
      </c>
    </row>
    <row r="106" spans="2:2">
      <c r="B106" t="s">
        <v>4016</v>
      </c>
    </row>
    <row r="107" spans="2:2">
      <c r="B107" t="s">
        <v>4017</v>
      </c>
    </row>
    <row r="108" spans="2:2">
      <c r="B108" t="s">
        <v>4018</v>
      </c>
    </row>
    <row r="110" spans="2:2">
      <c r="B110" t="s">
        <v>4019</v>
      </c>
    </row>
    <row r="112" spans="2:2">
      <c r="B112" t="e" cm="1">
        <f t="array" ref="B112">- 策略什么时候产生信号？</f>
        <v>#NAME?</v>
      </c>
    </row>
    <row r="113" spans="2:2">
      <c r="B113" t="e" cm="1">
        <f t="array" ref="B113">- 信号什么时候真正下单？</f>
        <v>#NAME?</v>
      </c>
    </row>
    <row r="114" spans="2:2">
      <c r="B114" t="e" cm="1">
        <f t="array" ref="B114">- 委托和成交有什么区别？</f>
        <v>#NAME?</v>
      </c>
    </row>
    <row r="115" spans="2:2">
      <c r="B115" t="e" cm="1">
        <f t="array" ref="B115">- 当前持仓是多少？</f>
        <v>#NAME?</v>
      </c>
    </row>
    <row r="116" spans="2:2">
      <c r="B116" t="e" cm="1">
        <f t="array" ref="B116">- 为什么这一笔交易亏损？</f>
        <v>#NAME?</v>
      </c>
    </row>
    <row r="117" spans="2:2">
      <c r="B117" t="e" cm="1">
        <f t="array" ref="B117">- 改变手续费后结果是否仍然有效？</f>
        <v>#NAME?</v>
      </c>
    </row>
    <row r="119" spans="2:2">
      <c r="B119" t="s">
        <v>4020</v>
      </c>
    </row>
    <row r="121" spans="2:2">
      <c r="B121" t="s">
        <v>4021</v>
      </c>
    </row>
    <row r="123" spans="2:2">
      <c r="B123" t="s">
        <v>4022</v>
      </c>
    </row>
    <row r="125" spans="2:2">
      <c r="B125" t="s">
        <v>4023</v>
      </c>
    </row>
    <row r="126" spans="2:2">
      <c r="B126" t="s">
        <v>4024</v>
      </c>
    </row>
    <row r="127" spans="2:2">
      <c r="B127" t="s">
        <v>4025</v>
      </c>
    </row>
    <row r="128" spans="2:2">
      <c r="B128" t="s">
        <v>4026</v>
      </c>
    </row>
    <row r="129" spans="2:2">
      <c r="B129" t="s">
        <v>4027</v>
      </c>
    </row>
    <row r="130" spans="2:2">
      <c r="B130" t="s">
        <v>4028</v>
      </c>
    </row>
    <row r="132" spans="2:2">
      <c r="B132" t="s">
        <v>4029</v>
      </c>
    </row>
    <row r="133" spans="2:2">
      <c r="B133" t="s">
        <v>4030</v>
      </c>
    </row>
    <row r="134" spans="2:2">
      <c r="B134" t="s">
        <v>4031</v>
      </c>
    </row>
    <row r="135" spans="2:2">
      <c r="B135" t="s">
        <v>4032</v>
      </c>
    </row>
    <row r="136" spans="2:2">
      <c r="B136" t="s">
        <v>4033</v>
      </c>
    </row>
    <row r="137" spans="2:2">
      <c r="B137" t="s">
        <v>4034</v>
      </c>
    </row>
    <row r="138" spans="2:2">
      <c r="B138" t="s">
        <v>4035</v>
      </c>
    </row>
    <row r="140" spans="2:2">
      <c r="B140" t="s">
        <v>4036</v>
      </c>
    </row>
    <row r="142" spans="2:2">
      <c r="B142" t="s">
        <v>3982</v>
      </c>
    </row>
    <row r="143" spans="2:2">
      <c r="B143" t="s">
        <v>4037</v>
      </c>
    </row>
    <row r="144" spans="2:2">
      <c r="B144" t="s">
        <v>4038</v>
      </c>
    </row>
    <row r="145" spans="2:2">
      <c r="B145" t="s">
        <v>4039</v>
      </c>
    </row>
    <row r="146" spans="2:2">
      <c r="B146" t="s">
        <v>4040</v>
      </c>
    </row>
    <row r="147" spans="2:2">
      <c r="B147" t="s">
        <v>4041</v>
      </c>
    </row>
    <row r="148" spans="2:2">
      <c r="B148" t="s">
        <v>4042</v>
      </c>
    </row>
    <row r="149" spans="2:2">
      <c r="B149" t="s">
        <v>3990</v>
      </c>
    </row>
    <row r="151" spans="2:2">
      <c r="B151" t="s">
        <v>4043</v>
      </c>
    </row>
    <row r="152" spans="2:2">
      <c r="B152" t="s">
        <v>4044</v>
      </c>
    </row>
    <row r="153" spans="2:2">
      <c r="B153" t="s">
        <v>4045</v>
      </c>
    </row>
    <row r="154" spans="2:2">
      <c r="B154" t="s">
        <v>4046</v>
      </c>
    </row>
    <row r="155" spans="2:2">
      <c r="B155" t="s">
        <v>4047</v>
      </c>
    </row>
    <row r="156" spans="2:2">
      <c r="B156" t="s">
        <v>4048</v>
      </c>
    </row>
    <row r="158" spans="2:2">
      <c r="B158" t="s">
        <v>4049</v>
      </c>
    </row>
    <row r="160" spans="2:2">
      <c r="B160" t="s">
        <v>4050</v>
      </c>
    </row>
    <row r="162" spans="2:2">
      <c r="B162" t="s">
        <v>3982</v>
      </c>
    </row>
    <row r="163" spans="2:2">
      <c r="B163" t="s">
        <v>4051</v>
      </c>
    </row>
    <row r="164" spans="2:2">
      <c r="B164" t="s">
        <v>3990</v>
      </c>
    </row>
    <row r="166" spans="2:2">
      <c r="B166" t="s">
        <v>4052</v>
      </c>
    </row>
    <row r="168" spans="2:2">
      <c r="B168" t="s">
        <v>3982</v>
      </c>
    </row>
    <row r="169" spans="2:2">
      <c r="B169" t="s">
        <v>4053</v>
      </c>
    </row>
    <row r="170" spans="2:2">
      <c r="B170" t="s">
        <v>4054</v>
      </c>
    </row>
    <row r="171" spans="2:2">
      <c r="B171" t="s">
        <v>4055</v>
      </c>
    </row>
    <row r="172" spans="2:2">
      <c r="B172" t="s">
        <v>4056</v>
      </c>
    </row>
    <row r="173" spans="2:2">
      <c r="B173" t="s">
        <v>4057</v>
      </c>
    </row>
    <row r="174" spans="2:2">
      <c r="B174" t="s">
        <v>4058</v>
      </c>
    </row>
    <row r="175" spans="2:2">
      <c r="B175" t="s">
        <v>4059</v>
      </c>
    </row>
    <row r="176" spans="2:2">
      <c r="B176" t="s">
        <v>3990</v>
      </c>
    </row>
    <row r="178" spans="2:2">
      <c r="B178" t="s">
        <v>4060</v>
      </c>
    </row>
    <row r="180" spans="2:2">
      <c r="B180" t="s">
        <v>4061</v>
      </c>
    </row>
    <row r="182" spans="2:2">
      <c r="B182" t="s">
        <v>4062</v>
      </c>
    </row>
    <row r="183" spans="2:2">
      <c r="B183" t="s">
        <v>4063</v>
      </c>
    </row>
    <row r="184" spans="2:2">
      <c r="B184" t="s">
        <v>4064</v>
      </c>
    </row>
    <row r="185" spans="2:2">
      <c r="B185" t="s">
        <v>4065</v>
      </c>
    </row>
    <row r="186" spans="2:2">
      <c r="B186" t="s">
        <v>4066</v>
      </c>
    </row>
    <row r="187" spans="2:2">
      <c r="B187" t="e" cm="1">
        <f t="array" ref="B187">- 策略生命周期</f>
        <v>#NAME?</v>
      </c>
    </row>
    <row r="188" spans="2:2">
      <c r="B188" t="e" cm="1">
        <f t="array" ref="B188">- 日志和异常处理</f>
        <v>#NAME?</v>
      </c>
    </row>
    <row r="189" spans="2:2">
      <c r="B189" t="e" cm="1">
        <f t="array" ref="B189">- 进程与线程</f>
        <v>#NAME?</v>
      </c>
    </row>
    <row r="191" spans="2:2">
      <c r="B191" t="s">
        <v>4067</v>
      </c>
    </row>
    <row r="193" spans="2:2">
      <c r="B193" t="s">
        <v>3982</v>
      </c>
    </row>
    <row r="194" spans="2:2">
      <c r="B194" t="s">
        <v>4068</v>
      </c>
    </row>
    <row r="195" spans="2:2">
      <c r="B195" t="s">
        <v>4069</v>
      </c>
    </row>
    <row r="196" spans="2:2">
      <c r="B196" t="s">
        <v>4070</v>
      </c>
    </row>
    <row r="197" spans="2:2">
      <c r="B197" t="s">
        <v>4071</v>
      </c>
    </row>
    <row r="198" spans="2:2">
      <c r="B198" t="s">
        <v>4072</v>
      </c>
    </row>
    <row r="199" spans="2:2">
      <c r="B199" t="s">
        <v>3990</v>
      </c>
    </row>
    <row r="201" spans="2:2">
      <c r="B201" t="s">
        <v>4073</v>
      </c>
    </row>
    <row r="203" spans="2:2">
      <c r="B203" t="s">
        <v>4074</v>
      </c>
    </row>
    <row r="205" spans="2:2">
      <c r="B205" t="s">
        <v>4075</v>
      </c>
    </row>
    <row r="207" spans="2:2">
      <c r="B207" t="e" cm="1">
        <f t="array" ref="B207">- 因子计算</f>
        <v>#NAME?</v>
      </c>
    </row>
    <row r="208" spans="2:2">
      <c r="B208" t="e" cm="1">
        <f t="array" ref="B208">- 数据集构造</f>
        <v>#NAME?</v>
      </c>
    </row>
    <row r="209" spans="2:2">
      <c r="B209" t="e" cm="1">
        <f t="array" ref="B209">- Lasso</f>
        <v>#NAME?</v>
      </c>
    </row>
    <row r="210" spans="2:2">
      <c r="B210" t="e" cm="1">
        <f t="array" ref="B210">- LightGBM</f>
        <v>#NAME?</v>
      </c>
    </row>
    <row r="211" spans="2:2">
      <c r="B211" t="e" cm="1">
        <f t="array" ref="B211">- MLP</f>
        <v>#NAME?</v>
      </c>
    </row>
    <row r="212" spans="2:2">
      <c r="B212" t="e" cm="1">
        <f t="array" ref="B212">- 机器学习策略</f>
        <v>#NAME?</v>
      </c>
    </row>
    <row r="214" spans="2:2">
      <c r="B214" t="s">
        <v>4076</v>
      </c>
    </row>
    <row r="216" spans="2:2">
      <c r="B216" t="e" cm="1">
        <f t="array" ref="B216">- 独立完成一个回测</f>
        <v>#NAME?</v>
      </c>
    </row>
    <row r="217" spans="2:2">
      <c r="B217" t="e" cm="1">
        <f t="array" ref="B217">- 能识别未来函数</f>
        <v>#NAME?</v>
      </c>
    </row>
    <row r="218" spans="2:2">
      <c r="B218" t="e" cm="1">
        <f t="array" ref="B218">- 能正确划分训练集和测试集</f>
        <v>#NAME?</v>
      </c>
    </row>
    <row r="219" spans="2:2">
      <c r="B219" t="e" cm="1">
        <f t="array" ref="B219">- 能解释交易成本</f>
        <v>#NAME?</v>
      </c>
    </row>
    <row r="220" spans="2:2">
      <c r="B220" t="e" cm="1">
        <f t="array" ref="B220">- 能做样本外验证</f>
        <v>#NAME?</v>
      </c>
    </row>
    <row r="221" spans="2:2">
      <c r="B221" t="e" cm="1">
        <f t="array" ref="B221">- 能比较模型预测效果和实际交易效果</f>
        <v>#NAME?</v>
      </c>
    </row>
    <row r="223" spans="2:2">
      <c r="B223" t="s">
        <v>4077</v>
      </c>
    </row>
    <row r="225" spans="2:2">
      <c r="B225" t="s">
        <v>4078</v>
      </c>
    </row>
    <row r="227" spans="2:2">
      <c r="B227" t="s">
        <v>4079</v>
      </c>
    </row>
    <row r="229" spans="2:2">
      <c r="B229" t="s">
        <v>4080</v>
      </c>
    </row>
    <row r="230" spans="2:2">
      <c r="B230" t="s">
        <v>4081</v>
      </c>
    </row>
    <row r="231" spans="2:2">
      <c r="B231" t="s">
        <v>4082</v>
      </c>
    </row>
    <row r="232" spans="2:2">
      <c r="B232" t="s">
        <v>4083</v>
      </c>
    </row>
    <row r="234" spans="2:2">
      <c r="B234" t="s">
        <v>4084</v>
      </c>
    </row>
    <row r="236" spans="2:2">
      <c r="B236" t="s">
        <v>4085</v>
      </c>
    </row>
    <row r="238" spans="2:2">
      <c r="B238" t="s">
        <v>4086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载入说明</vt:lpstr>
      <vt:lpstr>n1</vt:lpstr>
      <vt:lpstr>n1预备役</vt:lpstr>
      <vt:lpstr>n2 </vt:lpstr>
      <vt:lpstr>n3</vt:lpstr>
      <vt:lpstr>n4</vt:lpstr>
      <vt:lpstr>n5</vt:lpstr>
      <vt:lpstr>接尾</vt:lpstr>
      <vt:lpstr>接头</vt:lpstr>
      <vt:lpstr>Error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何志彬</dc:creator>
  <cp:keywords/>
  <dc:description/>
  <cp:lastModifiedBy>office</cp:lastModifiedBy>
  <cp:revision/>
  <dcterms:created xsi:type="dcterms:W3CDTF">2015-06-05T18:19:34Z</dcterms:created>
  <dcterms:modified xsi:type="dcterms:W3CDTF">2026-08-24T23:47:54Z</dcterms:modified>
  <cp:category/>
  <cp:contentStatus/>
</cp:coreProperties>
</file>